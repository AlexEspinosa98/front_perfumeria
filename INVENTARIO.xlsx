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spa9\Documents\Documents\Company\"/>
    </mc:Choice>
  </mc:AlternateContent>
  <xr:revisionPtr revIDLastSave="0" documentId="13_ncr:1_{E0A017A5-9D8B-465E-A148-8BD845D0535D}" xr6:coauthVersionLast="47" xr6:coauthVersionMax="47" xr10:uidLastSave="{00000000-0000-0000-0000-000000000000}"/>
  <bookViews>
    <workbookView xWindow="-120" yWindow="-120" windowWidth="20730" windowHeight="11040" activeTab="3" xr2:uid="{9F3C4276-A910-4A15-AA6B-2AE92FEB6AFB}"/>
  </bookViews>
  <sheets>
    <sheet name="INVENTARIO FEMENINO" sheetId="4" r:id="rId1"/>
    <sheet name="VENTAS ABRIL-MAYO-JUNIO" sheetId="8" r:id="rId2"/>
    <sheet name="INVENTARIO MASCULINO" sheetId="7" r:id="rId3"/>
    <sheet name="1.1" sheetId="9" r:id="rId4"/>
    <sheet name="BAJO PEDIDO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4" i="8" l="1"/>
  <c r="K125" i="8"/>
  <c r="K126" i="8"/>
  <c r="K127" i="8"/>
  <c r="K128" i="8"/>
  <c r="K129" i="8"/>
  <c r="K130" i="8"/>
  <c r="K131" i="8"/>
  <c r="K132" i="8"/>
  <c r="K133" i="8"/>
  <c r="K134" i="8"/>
  <c r="K120" i="8"/>
  <c r="K121" i="8"/>
  <c r="K119" i="8"/>
  <c r="G21" i="9"/>
  <c r="I21" i="9" s="1"/>
  <c r="J21" i="9" s="1"/>
  <c r="K122" i="8"/>
  <c r="K123" i="8"/>
  <c r="J5" i="9"/>
  <c r="J7" i="9"/>
  <c r="J9" i="9"/>
  <c r="J10" i="9"/>
  <c r="J12" i="9"/>
  <c r="J13" i="9"/>
  <c r="J14" i="9"/>
  <c r="J15" i="9"/>
  <c r="J16" i="9"/>
  <c r="J17" i="9"/>
  <c r="G18" i="9"/>
  <c r="I18" i="9" s="1"/>
  <c r="J18" i="9" s="1"/>
  <c r="G19" i="9"/>
  <c r="I19" i="9" s="1"/>
  <c r="J19" i="9" s="1"/>
  <c r="G20" i="9"/>
  <c r="I20" i="9" s="1"/>
  <c r="J20" i="9" s="1"/>
  <c r="D100" i="8"/>
  <c r="K115" i="8"/>
  <c r="K116" i="8"/>
  <c r="K117" i="8"/>
  <c r="K118" i="8"/>
  <c r="K112" i="8"/>
  <c r="K113" i="8"/>
  <c r="K114" i="8"/>
  <c r="C16" i="9"/>
  <c r="G17" i="9"/>
  <c r="I17" i="9" s="1"/>
  <c r="G16" i="9"/>
  <c r="I16" i="9" s="1"/>
  <c r="K108" i="8"/>
  <c r="K109" i="8"/>
  <c r="K110" i="8"/>
  <c r="K111" i="8"/>
  <c r="D102" i="8"/>
  <c r="D103" i="8"/>
  <c r="D104" i="8"/>
  <c r="D105" i="8"/>
  <c r="D106" i="8"/>
  <c r="D107" i="8"/>
  <c r="G15" i="9"/>
  <c r="I15" i="9" s="1"/>
  <c r="E27" i="4"/>
  <c r="E28" i="4"/>
  <c r="G27" i="4"/>
  <c r="G28" i="4"/>
  <c r="K27" i="4"/>
  <c r="K28" i="4"/>
  <c r="L27" i="4"/>
  <c r="L28" i="4"/>
  <c r="M27" i="4"/>
  <c r="M28" i="4"/>
  <c r="N27" i="4"/>
  <c r="N28" i="4"/>
  <c r="O27" i="4"/>
  <c r="O28" i="4"/>
  <c r="P27" i="4"/>
  <c r="Q27" i="4" s="1"/>
  <c r="R27" i="4" s="1"/>
  <c r="P28" i="4"/>
  <c r="Q28" i="4" s="1"/>
  <c r="R28" i="4" s="1"/>
  <c r="K105" i="8"/>
  <c r="K106" i="8"/>
  <c r="K107" i="8"/>
  <c r="K102" i="8"/>
  <c r="K103" i="8"/>
  <c r="K104" i="8"/>
  <c r="C11" i="9"/>
  <c r="G11" i="9" s="1"/>
  <c r="I11" i="9" s="1"/>
  <c r="J11" i="9" s="1"/>
  <c r="I31" i="6"/>
  <c r="G14" i="9"/>
  <c r="I14" i="9" s="1"/>
  <c r="D95" i="8"/>
  <c r="D96" i="8"/>
  <c r="D97" i="8"/>
  <c r="D98" i="8"/>
  <c r="D99" i="8"/>
  <c r="D101" i="8"/>
  <c r="K95" i="8"/>
  <c r="K96" i="8"/>
  <c r="K97" i="8"/>
  <c r="K98" i="8"/>
  <c r="K99" i="8"/>
  <c r="K100" i="8"/>
  <c r="K101" i="8"/>
  <c r="G13" i="9"/>
  <c r="I13" i="9" s="1"/>
  <c r="I23" i="6"/>
  <c r="G12" i="9"/>
  <c r="I12" i="9" s="1"/>
  <c r="G10" i="9"/>
  <c r="I10" i="9" s="1"/>
  <c r="E25" i="4"/>
  <c r="E26" i="4"/>
  <c r="G25" i="4"/>
  <c r="K25" i="4" s="1"/>
  <c r="M25" i="4" s="1"/>
  <c r="G26" i="4"/>
  <c r="K26" i="4" s="1"/>
  <c r="O25" i="4"/>
  <c r="O26" i="4"/>
  <c r="P25" i="4"/>
  <c r="P26" i="4"/>
  <c r="Q26" i="4" s="1"/>
  <c r="R26" i="4" s="1"/>
  <c r="E22" i="7"/>
  <c r="E23" i="7"/>
  <c r="E24" i="7"/>
  <c r="E25" i="7"/>
  <c r="E26" i="7"/>
  <c r="E27" i="7"/>
  <c r="G22" i="7"/>
  <c r="K22" i="7" s="1"/>
  <c r="M22" i="7" s="1"/>
  <c r="N22" i="7" s="1"/>
  <c r="G23" i="7"/>
  <c r="K23" i="7" s="1"/>
  <c r="M23" i="7" s="1"/>
  <c r="G24" i="7"/>
  <c r="G25" i="7"/>
  <c r="G26" i="7"/>
  <c r="G27" i="7"/>
  <c r="K24" i="7"/>
  <c r="M24" i="7" s="1"/>
  <c r="K25" i="7"/>
  <c r="K26" i="7"/>
  <c r="K27" i="7"/>
  <c r="M25" i="7"/>
  <c r="M26" i="7"/>
  <c r="M27" i="7"/>
  <c r="N25" i="7"/>
  <c r="N26" i="7"/>
  <c r="N27" i="7"/>
  <c r="O22" i="7"/>
  <c r="O23" i="7"/>
  <c r="O24" i="7"/>
  <c r="O25" i="7"/>
  <c r="O26" i="7"/>
  <c r="O27" i="7"/>
  <c r="P22" i="7"/>
  <c r="P23" i="7"/>
  <c r="Q23" i="7" s="1"/>
  <c r="R23" i="7" s="1"/>
  <c r="P24" i="7"/>
  <c r="P25" i="7"/>
  <c r="Q25" i="7" s="1"/>
  <c r="R25" i="7" s="1"/>
  <c r="P26" i="7"/>
  <c r="Q26" i="7" s="1"/>
  <c r="R26" i="7" s="1"/>
  <c r="P27" i="7"/>
  <c r="Q27" i="7" s="1"/>
  <c r="R27" i="7" s="1"/>
  <c r="G9" i="9"/>
  <c r="I9" i="9" s="1"/>
  <c r="N24" i="7" l="1"/>
  <c r="Q24" i="7"/>
  <c r="R24" i="7" s="1"/>
  <c r="N23" i="7"/>
  <c r="Q25" i="4"/>
  <c r="R25" i="4" s="1"/>
  <c r="N25" i="4"/>
  <c r="M26" i="4"/>
  <c r="N26" i="4" s="1"/>
  <c r="Q22" i="7"/>
  <c r="R22" i="7" s="1"/>
  <c r="E20" i="7"/>
  <c r="E21" i="7"/>
  <c r="G20" i="7"/>
  <c r="K20" i="7" s="1"/>
  <c r="M20" i="7" s="1"/>
  <c r="N20" i="7" s="1"/>
  <c r="G21" i="7"/>
  <c r="K21" i="7" s="1"/>
  <c r="M21" i="7" s="1"/>
  <c r="O20" i="7"/>
  <c r="O21" i="7"/>
  <c r="P20" i="7"/>
  <c r="P21" i="7"/>
  <c r="F28" i="7"/>
  <c r="G8" i="9"/>
  <c r="I8" i="9" s="1"/>
  <c r="J8" i="9" s="1"/>
  <c r="N21" i="7" l="1"/>
  <c r="Q21" i="7"/>
  <c r="R21" i="7" s="1"/>
  <c r="Q20" i="7"/>
  <c r="R20" i="7" s="1"/>
  <c r="L22" i="4" l="1"/>
  <c r="G7" i="9"/>
  <c r="I7" i="9" s="1"/>
  <c r="C7" i="9"/>
  <c r="I6" i="9"/>
  <c r="J6" i="9" s="1"/>
  <c r="G6" i="9"/>
  <c r="C6" i="9"/>
  <c r="G5" i="9"/>
  <c r="I5" i="9" s="1"/>
  <c r="C5" i="9"/>
  <c r="G4" i="9"/>
  <c r="I4" i="9" s="1"/>
  <c r="J4" i="9" s="1"/>
  <c r="C4" i="9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D76" i="8"/>
  <c r="E23" i="4"/>
  <c r="E24" i="4"/>
  <c r="G23" i="4"/>
  <c r="K23" i="4" s="1"/>
  <c r="G24" i="4"/>
  <c r="K24" i="4" s="1"/>
  <c r="O23" i="4"/>
  <c r="O24" i="4"/>
  <c r="D75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68" i="8"/>
  <c r="K69" i="8"/>
  <c r="K70" i="8"/>
  <c r="K71" i="8"/>
  <c r="K72" i="8"/>
  <c r="K73" i="8"/>
  <c r="K74" i="8"/>
  <c r="D68" i="8"/>
  <c r="D67" i="8"/>
  <c r="D66" i="8"/>
  <c r="D65" i="8"/>
  <c r="D69" i="8"/>
  <c r="D70" i="8"/>
  <c r="D71" i="8"/>
  <c r="D72" i="8"/>
  <c r="D73" i="8"/>
  <c r="D74" i="8"/>
  <c r="K65" i="8"/>
  <c r="K66" i="8"/>
  <c r="K67" i="8"/>
  <c r="K61" i="8"/>
  <c r="K62" i="8"/>
  <c r="K63" i="8"/>
  <c r="K64" i="8"/>
  <c r="D61" i="8"/>
  <c r="D62" i="8"/>
  <c r="D63" i="8"/>
  <c r="D64" i="8"/>
  <c r="K56" i="8"/>
  <c r="K57" i="8"/>
  <c r="K58" i="8"/>
  <c r="K59" i="8"/>
  <c r="K60" i="8"/>
  <c r="K52" i="8"/>
  <c r="K53" i="8"/>
  <c r="K54" i="8"/>
  <c r="K55" i="8"/>
  <c r="D58" i="8"/>
  <c r="D59" i="8"/>
  <c r="D60" i="8"/>
  <c r="D55" i="8"/>
  <c r="D56" i="8"/>
  <c r="D57" i="8"/>
  <c r="D52" i="8"/>
  <c r="D53" i="8"/>
  <c r="D54" i="8"/>
  <c r="Q24" i="4" l="1"/>
  <c r="R24" i="4" s="1"/>
  <c r="M23" i="4"/>
  <c r="N23" i="4" s="1"/>
  <c r="Q23" i="4"/>
  <c r="R23" i="4" s="1"/>
  <c r="M24" i="4"/>
  <c r="N24" i="4" s="1"/>
  <c r="E18" i="7"/>
  <c r="E19" i="7"/>
  <c r="G18" i="7"/>
  <c r="K18" i="7" s="1"/>
  <c r="M18" i="7" s="1"/>
  <c r="G19" i="7"/>
  <c r="K19" i="7" s="1"/>
  <c r="M19" i="7" s="1"/>
  <c r="O18" i="7"/>
  <c r="O19" i="7"/>
  <c r="P18" i="7"/>
  <c r="Q18" i="7" s="1"/>
  <c r="R18" i="7" s="1"/>
  <c r="P19" i="7"/>
  <c r="D48" i="8"/>
  <c r="D49" i="8"/>
  <c r="D50" i="8"/>
  <c r="D51" i="8"/>
  <c r="N18" i="7" l="1"/>
  <c r="N19" i="7"/>
  <c r="Q19" i="7"/>
  <c r="R19" i="7" s="1"/>
  <c r="E16" i="7" l="1"/>
  <c r="E17" i="7"/>
  <c r="G16" i="7"/>
  <c r="K16" i="7" s="1"/>
  <c r="M16" i="7" s="1"/>
  <c r="N16" i="7" s="1"/>
  <c r="G17" i="7"/>
  <c r="K17" i="7" s="1"/>
  <c r="M17" i="7" s="1"/>
  <c r="N17" i="7" s="1"/>
  <c r="O16" i="7"/>
  <c r="O17" i="7"/>
  <c r="P16" i="7"/>
  <c r="Q16" i="7" s="1"/>
  <c r="R16" i="7" s="1"/>
  <c r="P17" i="7"/>
  <c r="Q17" i="7" l="1"/>
  <c r="R17" i="7" s="1"/>
  <c r="D45" i="8"/>
  <c r="D46" i="8"/>
  <c r="D47" i="8"/>
  <c r="D44" i="8" l="1"/>
  <c r="D43" i="8"/>
  <c r="D42" i="8"/>
  <c r="D41" i="8"/>
  <c r="K47" i="8" l="1"/>
  <c r="K48" i="8"/>
  <c r="K49" i="8"/>
  <c r="K50" i="8"/>
  <c r="K51" i="8"/>
  <c r="K44" i="8" l="1"/>
  <c r="K45" i="8"/>
  <c r="K46" i="8"/>
  <c r="K41" i="8" l="1"/>
  <c r="K42" i="8"/>
  <c r="K43" i="8"/>
  <c r="D35" i="8" l="1"/>
  <c r="D36" i="8"/>
  <c r="D37" i="8"/>
  <c r="D38" i="8"/>
  <c r="D39" i="8"/>
  <c r="D40" i="8"/>
  <c r="I13" i="6"/>
  <c r="E15" i="7" l="1"/>
  <c r="G15" i="7"/>
  <c r="K15" i="7" s="1"/>
  <c r="M15" i="7" s="1"/>
  <c r="O15" i="7"/>
  <c r="P15" i="7"/>
  <c r="Q15" i="7" s="1"/>
  <c r="R15" i="7" s="1"/>
  <c r="E21" i="4"/>
  <c r="E22" i="4"/>
  <c r="G21" i="4"/>
  <c r="K21" i="4" s="1"/>
  <c r="M21" i="4" s="1"/>
  <c r="G22" i="4"/>
  <c r="K22" i="4" s="1"/>
  <c r="O21" i="4"/>
  <c r="O22" i="4"/>
  <c r="E20" i="4"/>
  <c r="E12" i="7"/>
  <c r="E13" i="7"/>
  <c r="E14" i="7"/>
  <c r="G12" i="7"/>
  <c r="K12" i="7" s="1"/>
  <c r="M12" i="7" s="1"/>
  <c r="G13" i="7"/>
  <c r="K13" i="7" s="1"/>
  <c r="M13" i="7" s="1"/>
  <c r="N13" i="7" s="1"/>
  <c r="G14" i="7"/>
  <c r="K14" i="7" s="1"/>
  <c r="M14" i="7" s="1"/>
  <c r="O12" i="7"/>
  <c r="O13" i="7"/>
  <c r="O14" i="7"/>
  <c r="P12" i="7"/>
  <c r="P13" i="7"/>
  <c r="P14" i="7"/>
  <c r="Q21" i="4" l="1"/>
  <c r="R21" i="4" s="1"/>
  <c r="Q14" i="7"/>
  <c r="R14" i="7" s="1"/>
  <c r="M22" i="4"/>
  <c r="N22" i="4" s="1"/>
  <c r="Q22" i="4"/>
  <c r="R22" i="4" s="1"/>
  <c r="N15" i="7"/>
  <c r="Q12" i="7"/>
  <c r="R12" i="7" s="1"/>
  <c r="N14" i="7"/>
  <c r="N21" i="4"/>
  <c r="Q13" i="7"/>
  <c r="R13" i="7" s="1"/>
  <c r="N12" i="7"/>
  <c r="F29" i="6"/>
  <c r="F28" i="6"/>
  <c r="F17" i="6"/>
  <c r="F18" i="6"/>
  <c r="F21" i="6"/>
  <c r="F22" i="6"/>
  <c r="F23" i="6"/>
  <c r="F24" i="6"/>
  <c r="F25" i="6"/>
  <c r="F26" i="6"/>
  <c r="F27" i="6"/>
  <c r="K35" i="8" l="1"/>
  <c r="K36" i="8"/>
  <c r="K37" i="8"/>
  <c r="K38" i="8"/>
  <c r="K39" i="8"/>
  <c r="K40" i="8"/>
  <c r="K28" i="8" l="1"/>
  <c r="K29" i="8"/>
  <c r="K30" i="8"/>
  <c r="K31" i="8"/>
  <c r="K32" i="8"/>
  <c r="K33" i="8"/>
  <c r="K34" i="8"/>
  <c r="K26" i="8" l="1"/>
  <c r="K25" i="8"/>
  <c r="K27" i="8"/>
  <c r="K24" i="8" l="1"/>
  <c r="D32" i="8"/>
  <c r="D33" i="8"/>
  <c r="D34" i="8"/>
  <c r="K22" i="8"/>
  <c r="K23" i="8"/>
  <c r="K19" i="8" l="1"/>
  <c r="K20" i="8" l="1"/>
  <c r="K21" i="8"/>
  <c r="K12" i="8" l="1"/>
  <c r="D30" i="8"/>
  <c r="D31" i="8"/>
  <c r="D28" i="8"/>
  <c r="D29" i="8"/>
  <c r="D26" i="8" l="1"/>
  <c r="D27" i="8"/>
  <c r="F15" i="6" l="1"/>
  <c r="F16" i="6"/>
  <c r="F14" i="6"/>
  <c r="F13" i="6"/>
  <c r="F5" i="6"/>
  <c r="F6" i="6"/>
  <c r="F7" i="6"/>
  <c r="F8" i="6"/>
  <c r="F10" i="6"/>
  <c r="F11" i="6"/>
  <c r="F12" i="6"/>
  <c r="F9" i="6"/>
  <c r="D22" i="8" l="1"/>
  <c r="D23" i="8"/>
  <c r="D24" i="8"/>
  <c r="D25" i="8"/>
  <c r="D21" i="8" l="1"/>
  <c r="D20" i="8" l="1"/>
  <c r="G108" i="8"/>
  <c r="D19" i="8"/>
  <c r="K14" i="8"/>
  <c r="K15" i="8"/>
  <c r="K16" i="8"/>
  <c r="K17" i="8"/>
  <c r="K18" i="8"/>
  <c r="N135" i="8"/>
  <c r="D18" i="8" l="1"/>
  <c r="D17" i="8"/>
  <c r="D16" i="8"/>
  <c r="D15" i="8" l="1"/>
  <c r="K13" i="8"/>
  <c r="F108" i="8"/>
  <c r="P5" i="7"/>
  <c r="P6" i="7"/>
  <c r="P7" i="7"/>
  <c r="P8" i="7"/>
  <c r="P9" i="7"/>
  <c r="P10" i="7"/>
  <c r="P11" i="7"/>
  <c r="D14" i="8"/>
  <c r="D12" i="8"/>
  <c r="D13" i="8"/>
  <c r="D5" i="8"/>
  <c r="K3" i="8"/>
  <c r="K4" i="8"/>
  <c r="K5" i="8"/>
  <c r="K6" i="8"/>
  <c r="K7" i="8"/>
  <c r="K8" i="8"/>
  <c r="K9" i="8"/>
  <c r="K10" i="8"/>
  <c r="K11" i="8"/>
  <c r="O5" i="7"/>
  <c r="O6" i="7"/>
  <c r="O7" i="7"/>
  <c r="O8" i="7"/>
  <c r="O9" i="7"/>
  <c r="O10" i="7"/>
  <c r="O11" i="7"/>
  <c r="Q9" i="7" l="1"/>
  <c r="R9" i="7" s="1"/>
  <c r="Q5" i="7"/>
  <c r="R5" i="7" s="1"/>
  <c r="Q6" i="7"/>
  <c r="R6" i="7" s="1"/>
  <c r="Q11" i="7"/>
  <c r="R11" i="7" s="1"/>
  <c r="Q7" i="7"/>
  <c r="R7" i="7" s="1"/>
  <c r="Q10" i="7"/>
  <c r="R10" i="7" s="1"/>
  <c r="Q8" i="7"/>
  <c r="R8" i="7" s="1"/>
  <c r="G6" i="7"/>
  <c r="K6" i="7" s="1"/>
  <c r="M6" i="7" s="1"/>
  <c r="G7" i="7"/>
  <c r="K7" i="7" s="1"/>
  <c r="M7" i="7" s="1"/>
  <c r="G8" i="7"/>
  <c r="K8" i="7" s="1"/>
  <c r="M8" i="7" s="1"/>
  <c r="G9" i="7"/>
  <c r="K9" i="7" s="1"/>
  <c r="M9" i="7" s="1"/>
  <c r="G10" i="7"/>
  <c r="K10" i="7" s="1"/>
  <c r="M10" i="7" s="1"/>
  <c r="G11" i="7"/>
  <c r="K11" i="7" s="1"/>
  <c r="M11" i="7" s="1"/>
  <c r="G5" i="7"/>
  <c r="K5" i="7" s="1"/>
  <c r="M5" i="7" s="1"/>
  <c r="E6" i="7"/>
  <c r="E7" i="7"/>
  <c r="E8" i="7"/>
  <c r="E9" i="7"/>
  <c r="E10" i="7"/>
  <c r="E11" i="7"/>
  <c r="E5" i="7"/>
  <c r="D10" i="8"/>
  <c r="D11" i="8"/>
  <c r="M135" i="8"/>
  <c r="D9" i="8"/>
  <c r="N10" i="7" l="1"/>
  <c r="N6" i="7"/>
  <c r="N9" i="7"/>
  <c r="N11" i="7"/>
  <c r="N7" i="7"/>
  <c r="N5" i="7"/>
  <c r="N8" i="7"/>
  <c r="D8" i="8"/>
  <c r="D7" i="8"/>
  <c r="D6" i="8"/>
  <c r="D4" i="8"/>
  <c r="D3" i="8"/>
  <c r="O5" i="4"/>
  <c r="Q5" i="4" s="1"/>
  <c r="R5" i="4" s="1"/>
  <c r="O6" i="4"/>
  <c r="Q6" i="4" s="1"/>
  <c r="R6" i="4" s="1"/>
  <c r="O7" i="4"/>
  <c r="Q7" i="4" s="1"/>
  <c r="R7" i="4" s="1"/>
  <c r="O8" i="4"/>
  <c r="Q8" i="4" s="1"/>
  <c r="R8" i="4" s="1"/>
  <c r="O9" i="4"/>
  <c r="Q9" i="4" s="1"/>
  <c r="R9" i="4" s="1"/>
  <c r="O10" i="4"/>
  <c r="Q10" i="4" s="1"/>
  <c r="R10" i="4" s="1"/>
  <c r="O11" i="4"/>
  <c r="Q11" i="4" s="1"/>
  <c r="R11" i="4" s="1"/>
  <c r="O12" i="4"/>
  <c r="Q12" i="4" s="1"/>
  <c r="R12" i="4" s="1"/>
  <c r="O13" i="4"/>
  <c r="Q13" i="4" s="1"/>
  <c r="R13" i="4" s="1"/>
  <c r="O14" i="4"/>
  <c r="Q14" i="4" s="1"/>
  <c r="R14" i="4" s="1"/>
  <c r="O15" i="4"/>
  <c r="Q15" i="4" s="1"/>
  <c r="R15" i="4" s="1"/>
  <c r="O16" i="4"/>
  <c r="Q16" i="4" s="1"/>
  <c r="R16" i="4" s="1"/>
  <c r="O17" i="4"/>
  <c r="Q17" i="4" s="1"/>
  <c r="R17" i="4" s="1"/>
  <c r="O18" i="4"/>
  <c r="Q18" i="4" s="1"/>
  <c r="R18" i="4" s="1"/>
  <c r="O19" i="4"/>
  <c r="Q19" i="4" s="1"/>
  <c r="R19" i="4" s="1"/>
  <c r="O20" i="4"/>
  <c r="Q20" i="4" s="1"/>
  <c r="R20" i="4" s="1"/>
  <c r="G17" i="4"/>
  <c r="G18" i="4"/>
  <c r="G19" i="4"/>
  <c r="G20" i="4"/>
  <c r="G16" i="4"/>
  <c r="G12" i="4"/>
  <c r="G13" i="4"/>
  <c r="G14" i="4"/>
  <c r="G15" i="4"/>
  <c r="G10" i="4"/>
  <c r="G11" i="4"/>
  <c r="G9" i="4"/>
  <c r="G8" i="4"/>
  <c r="G7" i="4"/>
  <c r="G6" i="4"/>
  <c r="E17" i="4"/>
  <c r="E19" i="4" l="1"/>
  <c r="K19" i="4"/>
  <c r="M19" i="4" s="1"/>
  <c r="E18" i="4"/>
  <c r="K18" i="4"/>
  <c r="M18" i="4" s="1"/>
  <c r="K17" i="4"/>
  <c r="M17" i="4" s="1"/>
  <c r="G5" i="4"/>
  <c r="K5" i="4" s="1"/>
  <c r="M5" i="4" s="1"/>
  <c r="K6" i="4"/>
  <c r="M6" i="4" s="1"/>
  <c r="K7" i="4"/>
  <c r="M7" i="4" s="1"/>
  <c r="K8" i="4"/>
  <c r="M8" i="4" s="1"/>
  <c r="K9" i="4"/>
  <c r="M9" i="4" s="1"/>
  <c r="K10" i="4"/>
  <c r="M10" i="4" s="1"/>
  <c r="K11" i="4"/>
  <c r="M11" i="4" s="1"/>
  <c r="K12" i="4"/>
  <c r="M12" i="4" s="1"/>
  <c r="K13" i="4"/>
  <c r="M13" i="4" s="1"/>
  <c r="K14" i="4"/>
  <c r="M14" i="4" s="1"/>
  <c r="K16" i="4"/>
  <c r="M16" i="4" s="1"/>
  <c r="K20" i="4"/>
  <c r="M20" i="4" s="1"/>
  <c r="E5" i="4"/>
  <c r="E6" i="4"/>
  <c r="E7" i="4"/>
  <c r="E8" i="4"/>
  <c r="E9" i="4"/>
  <c r="E10" i="4"/>
  <c r="E11" i="4"/>
  <c r="E12" i="4"/>
  <c r="E13" i="4"/>
  <c r="E14" i="4"/>
  <c r="E15" i="4"/>
  <c r="E16" i="4"/>
  <c r="N19" i="4" l="1"/>
  <c r="K15" i="4"/>
  <c r="M15" i="4" s="1"/>
  <c r="N15" i="4" s="1"/>
  <c r="N17" i="4"/>
  <c r="N18" i="4"/>
  <c r="N20" i="4"/>
  <c r="N13" i="4"/>
  <c r="N11" i="4"/>
  <c r="N9" i="4"/>
  <c r="N7" i="4"/>
  <c r="N5" i="4"/>
  <c r="N16" i="4"/>
  <c r="N14" i="4"/>
  <c r="N12" i="4"/>
  <c r="N10" i="4"/>
  <c r="N8" i="4"/>
  <c r="N6" i="4"/>
</calcChain>
</file>

<file path=xl/sharedStrings.xml><?xml version="1.0" encoding="utf-8"?>
<sst xmlns="http://schemas.openxmlformats.org/spreadsheetml/2006/main" count="457" uniqueCount="191">
  <si>
    <t>Nombre</t>
  </si>
  <si>
    <t>Precio</t>
  </si>
  <si>
    <t>SOFIA VERGARA</t>
  </si>
  <si>
    <t>GOOD GIRL</t>
  </si>
  <si>
    <t>FANTASY</t>
  </si>
  <si>
    <t>BFF KIM KARDASHIAN</t>
  </si>
  <si>
    <t>BURBERRY HER</t>
  </si>
  <si>
    <t>YARA</t>
  </si>
  <si>
    <t>YARA CANDY</t>
  </si>
  <si>
    <t>SORBETTO ROSSO</t>
  </si>
  <si>
    <t>212 VIP ROSE</t>
  </si>
  <si>
    <t>LIGHT BLUE</t>
  </si>
  <si>
    <t>ARIANA GRANDE CLOUD</t>
  </si>
  <si>
    <t>Stock Gramos</t>
  </si>
  <si>
    <t>Costo de F</t>
  </si>
  <si>
    <t>Costo alchool</t>
  </si>
  <si>
    <t>Costo Envase</t>
  </si>
  <si>
    <t>Total Frasco</t>
  </si>
  <si>
    <t>Costo logistico</t>
  </si>
  <si>
    <t>Costo x frasco</t>
  </si>
  <si>
    <t>Cantidad frasco</t>
  </si>
  <si>
    <t>Precio de venta</t>
  </si>
  <si>
    <t>Ganancia x frasco</t>
  </si>
  <si>
    <t>Ganancia total</t>
  </si>
  <si>
    <t>Fragancias a solicitar</t>
  </si>
  <si>
    <t>Genero</t>
  </si>
  <si>
    <t>MUJER</t>
  </si>
  <si>
    <t>Referencia</t>
  </si>
  <si>
    <t>Precio x Pesos</t>
  </si>
  <si>
    <t>Gramos en Stock</t>
  </si>
  <si>
    <t>Fecha</t>
  </si>
  <si>
    <t>Gramos vendidos</t>
  </si>
  <si>
    <t>Fragancia Femenica</t>
  </si>
  <si>
    <t>Gramos Vendidos</t>
  </si>
  <si>
    <t>Frascos Restantes</t>
  </si>
  <si>
    <t>Codigo</t>
  </si>
  <si>
    <t>M001</t>
  </si>
  <si>
    <t>M002</t>
  </si>
  <si>
    <t>M003</t>
  </si>
  <si>
    <t>M005</t>
  </si>
  <si>
    <t>M006</t>
  </si>
  <si>
    <t>M007</t>
  </si>
  <si>
    <t>M008</t>
  </si>
  <si>
    <t>M009</t>
  </si>
  <si>
    <t>M010</t>
  </si>
  <si>
    <t>M011</t>
  </si>
  <si>
    <t>M012</t>
  </si>
  <si>
    <t>Gramos actuales</t>
  </si>
  <si>
    <t>Valor Venta</t>
  </si>
  <si>
    <t>IVA</t>
  </si>
  <si>
    <t>H001</t>
  </si>
  <si>
    <t>SAUVAGE ELIXIR</t>
  </si>
  <si>
    <t>Fragancia Masculina</t>
  </si>
  <si>
    <t>ONE MILLION ELIXIR</t>
  </si>
  <si>
    <t>LE MALE ELIXIR J.P</t>
  </si>
  <si>
    <t>H002</t>
  </si>
  <si>
    <t>H003</t>
  </si>
  <si>
    <t>H004</t>
  </si>
  <si>
    <t>H005</t>
  </si>
  <si>
    <t>TOY 2</t>
  </si>
  <si>
    <t>M013</t>
  </si>
  <si>
    <t>HOMBRE</t>
  </si>
  <si>
    <t>CARTERA</t>
  </si>
  <si>
    <t>LOLITA</t>
  </si>
  <si>
    <t>BAKARA 540</t>
  </si>
  <si>
    <t>Insumos</t>
  </si>
  <si>
    <t>Envase Alchool</t>
  </si>
  <si>
    <t>M014</t>
  </si>
  <si>
    <t>OLIMPEA</t>
  </si>
  <si>
    <t>H006</t>
  </si>
  <si>
    <t>212 NYS</t>
  </si>
  <si>
    <t>DEMILA</t>
  </si>
  <si>
    <t>POLO RED</t>
  </si>
  <si>
    <t>VALENTINO BORN IN ROMA</t>
  </si>
  <si>
    <t>COCO CHANEL</t>
  </si>
  <si>
    <t>INVICTUS VICTORY</t>
  </si>
  <si>
    <t>AMBER ROUGE ORIENTICA</t>
  </si>
  <si>
    <t>H007</t>
  </si>
  <si>
    <t>H008</t>
  </si>
  <si>
    <t>H009</t>
  </si>
  <si>
    <t>H010</t>
  </si>
  <si>
    <t>M016</t>
  </si>
  <si>
    <t>OMBRE NOMADE</t>
  </si>
  <si>
    <t>M017</t>
  </si>
  <si>
    <t>M018</t>
  </si>
  <si>
    <t>LA VIE EST BELLE</t>
  </si>
  <si>
    <t>H011</t>
  </si>
  <si>
    <t xml:space="preserve">SAUVAGE </t>
  </si>
  <si>
    <t>LE BEAU</t>
  </si>
  <si>
    <t>ALCHOOL</t>
  </si>
  <si>
    <t>CREED AVENTUS</t>
  </si>
  <si>
    <t>Fundas de colores</t>
  </si>
  <si>
    <t>Muk probadores</t>
  </si>
  <si>
    <t>Dorsay Yambal</t>
  </si>
  <si>
    <t>Hombre</t>
  </si>
  <si>
    <t>H012</t>
  </si>
  <si>
    <t>SOLO YAMBAL</t>
  </si>
  <si>
    <t>YUM YUM</t>
  </si>
  <si>
    <t>H013</t>
  </si>
  <si>
    <t>FACONNABLE</t>
  </si>
  <si>
    <t>CAN CAN PARIS HILTON</t>
  </si>
  <si>
    <t>Pedido</t>
  </si>
  <si>
    <t>SPLASH</t>
  </si>
  <si>
    <t>PERFUMES NIÑOS</t>
  </si>
  <si>
    <t>H014</t>
  </si>
  <si>
    <t>AQUA DI GIO</t>
  </si>
  <si>
    <t>Bhara king</t>
  </si>
  <si>
    <t>M019</t>
  </si>
  <si>
    <t>YARA MOI</t>
  </si>
  <si>
    <t>H015</t>
  </si>
  <si>
    <t>M004</t>
  </si>
  <si>
    <t>M015</t>
  </si>
  <si>
    <t>ASAD LATTAFA</t>
  </si>
  <si>
    <t>Costo x frag</t>
  </si>
  <si>
    <t>Costo alcohol</t>
  </si>
  <si>
    <t>Costo envio</t>
  </si>
  <si>
    <t>Yara Moi</t>
  </si>
  <si>
    <t>Costo x producto</t>
  </si>
  <si>
    <t>Ganancia</t>
  </si>
  <si>
    <t>Orientica</t>
  </si>
  <si>
    <t>One Million</t>
  </si>
  <si>
    <t>Inventario Perfumeria 1.1</t>
  </si>
  <si>
    <t>Margen / Costo</t>
  </si>
  <si>
    <t>INVENTARIO FEMENINO 30 ML</t>
  </si>
  <si>
    <t>INVENTARIO MASCULINO 30 ML</t>
  </si>
  <si>
    <t>M020</t>
  </si>
  <si>
    <t>IL FEMME</t>
  </si>
  <si>
    <t>Khamrah</t>
  </si>
  <si>
    <t>H016</t>
  </si>
  <si>
    <t>KHAMRAH</t>
  </si>
  <si>
    <t>Vendidos</t>
  </si>
  <si>
    <t>OUD FOR GLORY</t>
  </si>
  <si>
    <t>H017</t>
  </si>
  <si>
    <t>pendiente de venta 1,1</t>
  </si>
  <si>
    <t>Oud For Glory</t>
  </si>
  <si>
    <t>Proovedor</t>
  </si>
  <si>
    <t>Mundo F</t>
  </si>
  <si>
    <t>AMBER OUD ROUGE</t>
  </si>
  <si>
    <t>Mandarin Sky</t>
  </si>
  <si>
    <t>H018</t>
  </si>
  <si>
    <t>H019</t>
  </si>
  <si>
    <t>MANDARIN SKY</t>
  </si>
  <si>
    <t>M021</t>
  </si>
  <si>
    <t>PURE XS</t>
  </si>
  <si>
    <t>Pure xs</t>
  </si>
  <si>
    <t>Le male Elixir</t>
  </si>
  <si>
    <t>Calvin klein</t>
  </si>
  <si>
    <t>GUARDAR PERFUME MUCHACHA</t>
  </si>
  <si>
    <t>Bleu De Chanel</t>
  </si>
  <si>
    <t>pendiente de VENTA 1,1</t>
  </si>
  <si>
    <t>amber oud ruby</t>
  </si>
  <si>
    <t>lataffa mayar cherry intense</t>
  </si>
  <si>
    <t>17/01/20226</t>
  </si>
  <si>
    <t>H020</t>
  </si>
  <si>
    <t>BLEU DE CHANEL</t>
  </si>
  <si>
    <t>ill Femme</t>
  </si>
  <si>
    <t>ZAZIBAR DE LATAFFA</t>
  </si>
  <si>
    <t>opciones</t>
  </si>
  <si>
    <t>amber oud gold</t>
  </si>
  <si>
    <t>Light Blue</t>
  </si>
  <si>
    <t xml:space="preserve">pendiente 1.1 por vender </t>
  </si>
  <si>
    <t>erba pura</t>
  </si>
  <si>
    <t>sauvage</t>
  </si>
  <si>
    <t>212 NYC HOMBRE</t>
  </si>
  <si>
    <t>PENDIENTE POR VENDER 1.1</t>
  </si>
  <si>
    <t>pendiente de pago breiner</t>
  </si>
  <si>
    <t>18/13/2026</t>
  </si>
  <si>
    <t>18/13/2027</t>
  </si>
  <si>
    <t>18/13/2028</t>
  </si>
  <si>
    <t>Asad Lataffa</t>
  </si>
  <si>
    <t>Bleu de channel 100 gr</t>
  </si>
  <si>
    <t>Issaey Miyake H</t>
  </si>
  <si>
    <t>Good Girl</t>
  </si>
  <si>
    <t>Isey Miyake Dama</t>
  </si>
  <si>
    <t>212 sexy Dama</t>
  </si>
  <si>
    <t>M022</t>
  </si>
  <si>
    <t>ISSEY MIYAKE</t>
  </si>
  <si>
    <t>ISSEY MIYAKE F</t>
  </si>
  <si>
    <t>pendiente venta 1.1</t>
  </si>
  <si>
    <t>Alchoool pedir</t>
  </si>
  <si>
    <t>Amber oud rouge</t>
  </si>
  <si>
    <t>Envases</t>
  </si>
  <si>
    <t>Jean Paul Le BEAU</t>
  </si>
  <si>
    <t>M023</t>
  </si>
  <si>
    <t>SUBLIME RED</t>
  </si>
  <si>
    <t>Olimpiea</t>
  </si>
  <si>
    <t>first calvin klein</t>
  </si>
  <si>
    <t>Aqua di gio aqua man</t>
  </si>
  <si>
    <t>Sauvage salvaje nac</t>
  </si>
  <si>
    <t>pendiende de pago yo para viviana</t>
  </si>
  <si>
    <t>pendinde pago lili 3 mandarin 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</si>
</sst>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_-[$$-240A]\ * #,##0_-;\-[$$-240A]\ * #,##0_-;_-[$$-240A]\ 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Trebuchet MS"/>
      <family val="2"/>
    </font>
    <font>
      <sz val="11"/>
      <color theme="1"/>
      <name val="Trebuchet "/>
    </font>
    <font>
      <sz val="36"/>
      <color theme="0"/>
      <name val="Trebuchet MS"/>
      <family val="2"/>
    </font>
    <font>
      <b/>
      <sz val="24"/>
      <color theme="1"/>
      <name val="Trebuchet MS"/>
      <family val="2"/>
    </font>
    <font>
      <sz val="14"/>
      <color rgb="FF333333"/>
      <name val="Segoe UI"/>
      <family val="2"/>
    </font>
    <font>
      <sz val="10"/>
      <color theme="1"/>
      <name val="Trebuchet 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8" fontId="0" fillId="0" borderId="0" xfId="0" applyNumberFormat="1" applyAlignment="1">
      <alignment horizontal="left" vertical="center"/>
    </xf>
    <xf numFmtId="0" fontId="0" fillId="0" borderId="0" xfId="0" applyAlignment="1">
      <alignment horizontal="center"/>
    </xf>
    <xf numFmtId="0" fontId="0" fillId="2" borderId="0" xfId="0" applyFill="1"/>
    <xf numFmtId="166" fontId="0" fillId="0" borderId="0" xfId="0" applyNumberFormat="1"/>
    <xf numFmtId="14" fontId="0" fillId="0" borderId="0" xfId="0" applyNumberFormat="1"/>
    <xf numFmtId="1" fontId="0" fillId="0" borderId="0" xfId="0" applyNumberFormat="1"/>
    <xf numFmtId="0" fontId="2" fillId="0" borderId="1" xfId="0" applyFont="1" applyBorder="1"/>
    <xf numFmtId="18" fontId="0" fillId="0" borderId="0" xfId="0" applyNumberFormat="1" applyAlignment="1">
      <alignment horizontal="left" vertical="top"/>
    </xf>
    <xf numFmtId="3" fontId="0" fillId="0" borderId="0" xfId="0" applyNumberFormat="1"/>
    <xf numFmtId="0" fontId="0" fillId="3" borderId="0" xfId="0" applyFill="1" applyAlignment="1">
      <alignment horizontal="left" vertical="center"/>
    </xf>
    <xf numFmtId="165" fontId="0" fillId="0" borderId="0" xfId="1" applyNumberFormat="1" applyFont="1" applyFill="1"/>
    <xf numFmtId="0" fontId="0" fillId="0" borderId="0" xfId="0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0" fillId="5" borderId="2" xfId="0" applyFill="1" applyBorder="1"/>
    <xf numFmtId="165" fontId="0" fillId="5" borderId="2" xfId="1" applyNumberFormat="1" applyFont="1" applyFill="1" applyBorder="1"/>
    <xf numFmtId="0" fontId="0" fillId="0" borderId="2" xfId="0" applyBorder="1"/>
    <xf numFmtId="165" fontId="0" fillId="0" borderId="2" xfId="0" applyNumberFormat="1" applyBorder="1"/>
    <xf numFmtId="0" fontId="0" fillId="6" borderId="0" xfId="0" applyFill="1"/>
    <xf numFmtId="0" fontId="0" fillId="4" borderId="0" xfId="0" applyFill="1"/>
    <xf numFmtId="0" fontId="5" fillId="3" borderId="0" xfId="0" applyFont="1" applyFill="1" applyAlignment="1">
      <alignment horizontal="left" vertical="top"/>
    </xf>
    <xf numFmtId="165" fontId="0" fillId="0" borderId="2" xfId="1" applyNumberFormat="1" applyFont="1" applyBorder="1"/>
    <xf numFmtId="165" fontId="0" fillId="0" borderId="2" xfId="1" applyNumberFormat="1" applyFont="1" applyFill="1" applyBorder="1"/>
    <xf numFmtId="0" fontId="0" fillId="0" borderId="2" xfId="0" applyBorder="1" applyAlignment="1">
      <alignment horizontal="left" vertical="center"/>
    </xf>
    <xf numFmtId="0" fontId="5" fillId="0" borderId="0" xfId="0" applyFont="1"/>
    <xf numFmtId="0" fontId="0" fillId="0" borderId="0" xfId="0" applyAlignment="1">
      <alignment vertical="center"/>
    </xf>
    <xf numFmtId="0" fontId="6" fillId="7" borderId="0" xfId="0" applyFont="1" applyFill="1" applyAlignment="1">
      <alignment horizontal="center" vertical="center"/>
    </xf>
    <xf numFmtId="0" fontId="7" fillId="0" borderId="0" xfId="0" applyFont="1"/>
    <xf numFmtId="165" fontId="7" fillId="0" borderId="0" xfId="1" applyNumberFormat="1" applyFont="1"/>
    <xf numFmtId="165" fontId="7" fillId="0" borderId="0" xfId="0" applyNumberFormat="1" applyFont="1"/>
    <xf numFmtId="0" fontId="2" fillId="0" borderId="3" xfId="0" applyFont="1" applyBorder="1"/>
    <xf numFmtId="0" fontId="2" fillId="0" borderId="2" xfId="0" applyFont="1" applyBorder="1"/>
    <xf numFmtId="0" fontId="7" fillId="0" borderId="0" xfId="1" applyNumberFormat="1" applyFont="1" applyAlignment="1">
      <alignment horizontal="center" vertical="center"/>
    </xf>
    <xf numFmtId="165" fontId="7" fillId="0" borderId="0" xfId="1" applyNumberFormat="1" applyFont="1" applyFill="1"/>
    <xf numFmtId="0" fontId="7" fillId="4" borderId="0" xfId="0" applyFont="1" applyFill="1"/>
    <xf numFmtId="0" fontId="10" fillId="0" borderId="0" xfId="0" applyFont="1"/>
    <xf numFmtId="18" fontId="0" fillId="4" borderId="0" xfId="0" applyNumberFormat="1" applyFill="1" applyAlignment="1">
      <alignment horizontal="left" vertical="center"/>
    </xf>
    <xf numFmtId="0" fontId="0" fillId="4" borderId="2" xfId="0" applyFill="1" applyBorder="1" applyAlignment="1">
      <alignment wrapText="1"/>
    </xf>
    <xf numFmtId="0" fontId="0" fillId="4" borderId="0" xfId="0" applyFill="1" applyAlignment="1">
      <alignment horizontal="left" vertical="center"/>
    </xf>
    <xf numFmtId="2" fontId="7" fillId="0" borderId="0" xfId="2" applyNumberFormat="1" applyFont="1"/>
    <xf numFmtId="0" fontId="11" fillId="4" borderId="0" xfId="0" applyFont="1" applyFill="1"/>
    <xf numFmtId="0" fontId="0" fillId="4" borderId="2" xfId="0" applyFill="1" applyBorder="1"/>
    <xf numFmtId="0" fontId="9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51"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"/>
        <scheme val="none"/>
      </font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"/>
        <scheme val="none"/>
      </font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"/>
        <scheme val="none"/>
      </font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"/>
        <scheme val="none"/>
      </font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"/>
        <scheme val="none"/>
      </font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"/>
        <scheme val="none"/>
      </font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"/>
        <scheme val="none"/>
      </font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"/>
        <scheme val="none"/>
      </font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rebuchet MS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0" formatCode="General"/>
    </dxf>
    <dxf>
      <numFmt numFmtId="1" formatCode="0"/>
    </dxf>
    <dxf>
      <border outline="0">
        <top style="thin">
          <color theme="4"/>
        </top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5" formatCode="_-&quot;$&quot;\ * #,##0_-;\-&quot;$&quot;\ * #,##0_-;_-&quot;$&quot;\ * &quot;-&quot;??_-;_-@_-"/>
    </dxf>
    <dxf>
      <numFmt numFmtId="166" formatCode="_-[$$-240A]\ * #,##0_-;\-[$$-240A]\ * #,##0_-;_-[$$-240A]\ * &quot;-&quot;??_-;_-@_-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Estilo de tabla 1" pivot="0" count="0" xr9:uid="{9BAE5C56-C5A8-4599-9B17-8DC2763E402E}"/>
  </tableStyles>
  <colors>
    <mruColors>
      <color rgb="FF339933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awpixel.com/search/inventory%20tif%20warehouse%20tiff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221115</xdr:colOff>
      <xdr:row>0</xdr:row>
      <xdr:rowOff>0</xdr:rowOff>
    </xdr:from>
    <xdr:to>
      <xdr:col>1</xdr:col>
      <xdr:colOff>866773</xdr:colOff>
      <xdr:row>1</xdr:row>
      <xdr:rowOff>9524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0245301-EE30-EABF-6003-BF2567B32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21115" y="0"/>
          <a:ext cx="866774" cy="868475"/>
        </a:xfrm>
        <a:prstGeom prst="rect">
          <a:avLst/>
        </a:prstGeom>
        <a:solidFill>
          <a:schemeClr val="accent2"/>
        </a:solidFill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54125B-085B-4E5B-84E5-61FDCA0074F5}" name="inventariof" displayName="inventariof" ref="B4:R28" totalsRowShown="0">
  <tableColumns count="17">
    <tableColumn id="1" xr3:uid="{DB1EF6A6-4DFA-4930-A7B0-33150142A189}" name="Codigo" dataDxfId="44"/>
    <tableColumn id="7" xr3:uid="{328AAAE8-AFB0-4D1C-B991-A569A152112F}" name="Nombre" dataDxfId="43"/>
    <tableColumn id="2" xr3:uid="{263539A4-31DA-4FFF-9D23-C85C82E4C39B}" name="Stock Gramos" dataDxfId="42"/>
    <tableColumn id="16" xr3:uid="{641921A8-CAB8-4431-8B87-919D7E09EBC5}" name="Cantidad frasco" dataDxfId="41">
      <calculatedColumnFormula>+inventariof[[#This Row],[Stock Gramos]]/14</calculatedColumnFormula>
    </tableColumn>
    <tableColumn id="10" xr3:uid="{99AEF9EB-0B4A-4E7F-9F15-E22690B54E19}" name="Costo de F"/>
    <tableColumn id="15" xr3:uid="{1C2AFBE1-169B-4717-8250-C31688A8F03B}" name="Costo x frasco" dataDxfId="40">
      <calculatedColumnFormula>+inventariof[[#This Row],[Costo de F]]*14</calculatedColumnFormula>
    </tableColumn>
    <tableColumn id="12" xr3:uid="{BC983A6D-8ED4-4D4E-A30E-8A4F38F7826F}" name="Costo Envase"/>
    <tableColumn id="11" xr3:uid="{56E82843-05D4-4D56-9F3F-25B2EB1B36A0}" name="Costo alchool" dataDxfId="39" dataCellStyle="Moneda"/>
    <tableColumn id="14" xr3:uid="{8A0DF629-7012-44F3-8F9C-53C9D2539AE0}" name="Costo logistico" dataDxfId="38" dataCellStyle="Moneda"/>
    <tableColumn id="13" xr3:uid="{5D95C250-5C73-4471-A17A-DDB6483C44CA}" name="Total Frasco" dataDxfId="37">
      <calculatedColumnFormula>+inventariof[[#This Row],[Costo x frasco]]+inventariof[[#This Row],[Costo Envase]]+inventariof[[#This Row],[Costo alchool]]+inventariof[[#This Row],[Costo logistico]]</calculatedColumnFormula>
    </tableColumn>
    <tableColumn id="17" xr3:uid="{FFB6FA7B-E5C6-4C0A-9DA4-FED5DEAE6BA3}" name="Precio de venta" dataDxfId="36">
      <calculatedColumnFormula>+$C$1</calculatedColumnFormula>
    </tableColumn>
    <tableColumn id="18" xr3:uid="{37293665-E871-4195-A493-FFC1B5827870}" name="Ganancia x frasco" dataDxfId="35">
      <calculatedColumnFormula>+inventariof[[#This Row],[Precio de venta]]-inventariof[[#This Row],[Total Frasco]]</calculatedColumnFormula>
    </tableColumn>
    <tableColumn id="19" xr3:uid="{A4A5D6F6-4CC1-46A8-9947-FFCA036CF4E2}" name="Ganancia total" dataDxfId="34">
      <calculatedColumnFormula>+inventariof[[#This Row],[Ganancia x frasco]]*inventariof[[#This Row],[Cantidad frasco]]</calculatedColumnFormula>
    </tableColumn>
    <tableColumn id="3" xr3:uid="{F07A3062-3B75-4A2C-B44F-A285ED4520D3}" name="Gramos en Stock" dataDxfId="33">
      <calculatedColumnFormula>+inventariof[[#This Row],[Stock Gramos]]</calculatedColumnFormula>
    </tableColumn>
    <tableColumn id="4" xr3:uid="{FF9D43D0-2470-4B08-9738-F7978A7AE177}" name="Gramos vendidos" dataDxfId="32">
      <calculatedColumnFormula>+SUMIF(ventasf[Codigo],inventariof[[#This Row],[Codigo]],ventasf[Gramos Vendidos])</calculatedColumnFormula>
    </tableColumn>
    <tableColumn id="5" xr3:uid="{54BF785E-3CE6-45F7-BA98-E756F0BB2638}" name="Gramos actuales" dataDxfId="31">
      <calculatedColumnFormula>+inventariof[[#This Row],[Gramos en Stock]]-inventariof[[#This Row],[Gramos vendidos]]</calculatedColumnFormula>
    </tableColumn>
    <tableColumn id="6" xr3:uid="{B1D5C49A-64A8-499C-BF6A-B6AEED6EC989}" name="Frascos Restantes" dataDxfId="30">
      <calculatedColumnFormula>+inventariof[[#This Row],[Gramos actuales]]/14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2C3B7E-4C5E-408E-9A43-3B587C81ED00}" name="ventasf" displayName="ventasf" ref="B2:G108" totalsRowCount="1" totalsRowDxfId="50">
  <autoFilter ref="B2:G107" xr:uid="{DB2C3B7E-4C5E-408E-9A43-3B587C81ED00}"/>
  <tableColumns count="6">
    <tableColumn id="1" xr3:uid="{CC9B32B1-5298-4863-B954-12785908ABF3}" name="Fecha"/>
    <tableColumn id="2" xr3:uid="{F97D3AC4-78FB-427B-9635-6408C6C09C4D}" name="Codigo"/>
    <tableColumn id="3" xr3:uid="{2AC63EF2-0746-467C-B031-54D41FA84436}" name="Fragancia Femenica" dataDxfId="49">
      <calculatedColumnFormula>+VLOOKUP(C3,inventariof[],2,FALSE)</calculatedColumnFormula>
    </tableColumn>
    <tableColumn id="4" xr3:uid="{68ED47D2-05D3-4E6D-8444-BF7E2D289595}" name="Gramos Vendidos"/>
    <tableColumn id="5" xr3:uid="{6EF30A9E-2E91-4EEC-8771-216D8E1B745F}" name="Valor Venta" totalsRowFunction="sum" dataDxfId="48" totalsRowDxfId="3"/>
    <tableColumn id="6" xr3:uid="{FC046EEB-2D19-48F4-B36B-23CBF92930D1}" name="CARTERA" totalsRowFunction="sum" dataDxfId="47" totalsRowDxfId="2" dataCellStyle="Moneda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803384-8A8D-4681-BFB6-354629056B68}" name="ventasm" displayName="ventasm" ref="I2:N135" totalsRowCount="1" totalsRowDxfId="46">
  <autoFilter ref="I2:N134" xr:uid="{09803384-8A8D-4681-BFB6-354629056B68}"/>
  <tableColumns count="6">
    <tableColumn id="1" xr3:uid="{F8CA78DB-CA17-4068-9D0A-AF31749FB099}" name="Fecha"/>
    <tableColumn id="2" xr3:uid="{4F417BE9-276C-4330-90C7-7C4EB1D40824}" name="Codigo"/>
    <tableColumn id="3" xr3:uid="{F250518B-F428-482F-ABA3-30C378BF70A8}" name="Fragancia Masculina" dataDxfId="45">
      <calculatedColumnFormula>+VLOOKUP(ventasm[[#This Row],[Codigo]],inventariom[],2,FALSE)</calculatedColumnFormula>
    </tableColumn>
    <tableColumn id="4" xr3:uid="{57929271-83F9-4466-8EB3-BAE7150AE33E}" name="Gramos Vendidos"/>
    <tableColumn id="5" xr3:uid="{CF581E54-DBE9-48FB-98AA-9EE5FB142004}" name="Valor Venta" totalsRowFunction="sum" totalsRowDxfId="1"/>
    <tableColumn id="6" xr3:uid="{F959E746-ECE5-4E40-B295-9E8AE1E9CEAC}" name="CARTERA" totalsRowFunction="sum" totalsRowDxfId="0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1A38ABC-F35E-471D-8DA8-AA6A388B7077}" name="inventariom" displayName="inventariom" ref="B4:R28" totalsRowCount="1" headerRowDxfId="29" headerRowBorderDxfId="28" tableBorderDxfId="27">
  <autoFilter ref="B4:R27" xr:uid="{4E14C634-232B-41AD-8EB7-553039F79CAD}"/>
  <tableColumns count="17">
    <tableColumn id="1" xr3:uid="{2CB3DDB2-5A9B-465C-AC13-2D322F2401D3}" name="Codigo"/>
    <tableColumn id="2" xr3:uid="{0461F0D9-3FCF-4FD5-B23F-4FD3EA7C00A2}" name="Nombre"/>
    <tableColumn id="3" xr3:uid="{E3A7B2AB-D03B-464D-ADCB-ED729D9195C8}" name="Stock Gramos"/>
    <tableColumn id="4" xr3:uid="{2A7FE96B-7202-4E4E-8161-9AA4CFC2A6BA}" name="Cantidad frasco">
      <calculatedColumnFormula>+D5/14</calculatedColumnFormula>
    </tableColumn>
    <tableColumn id="5" xr3:uid="{6FB84FA8-D02F-4AFE-863E-AB6A78E9504A}" name="Costo de F" totalsRowFunction="sum" totalsRowDxfId="26"/>
    <tableColumn id="6" xr3:uid="{09A3399E-720F-43D7-8B55-C5891CEDD86D}" name="Costo x frasco" dataDxfId="25">
      <calculatedColumnFormula>+inventariom[[#This Row],[Costo de F]]*14</calculatedColumnFormula>
    </tableColumn>
    <tableColumn id="7" xr3:uid="{017516BF-49BE-4D6F-B59C-1FDDAD8B1C95}" name="Costo Envase"/>
    <tableColumn id="8" xr3:uid="{691BA07F-7DF9-46CC-A080-2207A50D4CB4}" name="Costo alchool"/>
    <tableColumn id="9" xr3:uid="{21C46923-A091-4A92-8512-F90C45759DBB}" name="Costo logistico"/>
    <tableColumn id="10" xr3:uid="{CA999C1E-8028-4BB6-8BB2-60BC65F6A3C4}" name="Total Frasco" dataDxfId="24" totalsRowDxfId="23">
      <calculatedColumnFormula>+inventariom[[#This Row],[Costo x frasco]]+inventariom[[#This Row],[Costo Envase]]+inventariom[[#This Row],[Costo alchool]]+inventariom[[#This Row],[Costo logistico]]</calculatedColumnFormula>
    </tableColumn>
    <tableColumn id="11" xr3:uid="{F8E6A6B1-860C-4B47-AFC5-0A558F328505}" name="Precio de venta"/>
    <tableColumn id="12" xr3:uid="{FE2A2E97-E65F-45E9-8B6C-EE65D1328EC8}" name="Ganancia x frasco" dataDxfId="22" totalsRowDxfId="21">
      <calculatedColumnFormula>+inventariom[[#This Row],[Precio de venta]]-inventariom[[#This Row],[Total Frasco]]</calculatedColumnFormula>
    </tableColumn>
    <tableColumn id="13" xr3:uid="{9A2A2AE9-1793-4326-AA80-F307E17C2460}" name="Ganancia total" dataDxfId="20">
      <calculatedColumnFormula>+inventariom[[#This Row],[Ganancia x frasco]]*inventariom[[#This Row],[Cantidad frasco]]</calculatedColumnFormula>
    </tableColumn>
    <tableColumn id="14" xr3:uid="{05EA8D50-475A-496E-BA28-8F9D50E04021}" name="Gramos en Stock" dataDxfId="19">
      <calculatedColumnFormula>+inventariom[[#This Row],[Stock Gramos]]</calculatedColumnFormula>
    </tableColumn>
    <tableColumn id="15" xr3:uid="{97A93C09-D9F4-4549-B7E2-18B87AF06EA0}" name="Gramos vendidos" dataDxfId="18">
      <calculatedColumnFormula>+SUMIF(ventasm[Codigo],inventariom[[#This Row],[Codigo]],ventasm[Gramos Vendidos])</calculatedColumnFormula>
    </tableColumn>
    <tableColumn id="16" xr3:uid="{9EC03F8F-BF0F-453B-BB75-FF5D7A6029DE}" name="Gramos actuales" dataDxfId="17">
      <calculatedColumnFormula>+inventariom[[#This Row],[Gramos en Stock]]-inventariom[[#This Row],[Gramos vendidos]]</calculatedColumnFormula>
    </tableColumn>
    <tableColumn id="17" xr3:uid="{64E8E276-815A-42EC-BEB2-66E1148E12D6}" name="Frascos Restantes" dataDxfId="16">
      <calculatedColumnFormula>+inventariom[[#This Row],[Gramos actuales]]/14</calculatedColumnFormula>
    </tableColumn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DC4395-D29D-482F-B673-D9CCF8EDB4AF}" name="Tabla6" displayName="Tabla6" ref="B3:K21" totalsRowShown="0" headerRowDxfId="15" dataDxfId="14" dataCellStyle="Moneda">
  <autoFilter ref="B3:K21" xr:uid="{D4DC4395-D29D-482F-B673-D9CCF8EDB4AF}"/>
  <tableColumns count="10">
    <tableColumn id="1" xr3:uid="{09FE4955-B6BF-4409-A3F8-2B7DA6EA129C}" name="Nombre" dataDxfId="13"/>
    <tableColumn id="2" xr3:uid="{C26DCA39-764E-4A91-9F7B-ACA24A53EE6F}" name="Costo x frag" dataDxfId="12" dataCellStyle="Moneda"/>
    <tableColumn id="3" xr3:uid="{5D5C43EE-A039-418F-903F-442FD0A42822}" name="Costo x frasco" dataDxfId="11" dataCellStyle="Moneda"/>
    <tableColumn id="4" xr3:uid="{6894CCBA-DA6D-4878-87E9-E53C3FE38D09}" name="Costo alcohol" dataDxfId="10" dataCellStyle="Moneda"/>
    <tableColumn id="5" xr3:uid="{7C21663D-8782-4D27-8A11-085E04C410CD}" name="Costo envio" dataDxfId="9" dataCellStyle="Moneda"/>
    <tableColumn id="6" xr3:uid="{2158BFC5-E5E1-4F2B-80C6-E3EB42C6270B}" name="Costo x producto" dataDxfId="8" dataCellStyle="Moneda">
      <calculatedColumnFormula>SUM(C4:F4)</calculatedColumnFormula>
    </tableColumn>
    <tableColumn id="7" xr3:uid="{3E7DB049-FA5D-4761-95E9-7F3428966A4F}" name="Precio de venta" dataDxfId="7" dataCellStyle="Moneda"/>
    <tableColumn id="8" xr3:uid="{5C9671F2-7D06-475F-96AD-6A101E03CDE9}" name="Ganancia" dataDxfId="6">
      <calculatedColumnFormula>+H4-G4</calculatedColumnFormula>
    </tableColumn>
    <tableColumn id="9" xr3:uid="{FF227F7B-EE7A-40D2-A576-8F652ACC6240}" name="Margen / Costo" dataDxfId="5" dataCellStyle="Porcentaje">
      <calculatedColumnFormula>+Tabla6[[#This Row],[Ganancia]]/Tabla6[[#This Row],[Precio de venta]]*100</calculatedColumnFormula>
    </tableColumn>
    <tableColumn id="10" xr3:uid="{F88BD716-E6C7-4930-883A-5786862DCE12}" name="Vendidos" dataDxfId="4" dataCellStyle="Moneda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C7F2B-6121-4AC5-9724-B2DE3B5999DE}">
  <dimension ref="A1:R28"/>
  <sheetViews>
    <sheetView showGridLines="0" topLeftCell="A8" zoomScale="91" zoomScaleNormal="91" workbookViewId="0">
      <selection activeCell="C21" sqref="C21"/>
    </sheetView>
  </sheetViews>
  <sheetFormatPr baseColWidth="10" defaultRowHeight="15"/>
  <cols>
    <col min="1" max="1" width="5.5703125" customWidth="1"/>
    <col min="2" max="2" width="23.42578125" bestFit="1" customWidth="1"/>
    <col min="3" max="3" width="25.85546875" bestFit="1" customWidth="1"/>
    <col min="4" max="4" width="14.7109375" bestFit="1" customWidth="1"/>
    <col min="5" max="5" width="16.28515625" bestFit="1" customWidth="1"/>
    <col min="6" max="6" width="11.85546875" bestFit="1" customWidth="1"/>
    <col min="7" max="7" width="14.85546875" bestFit="1" customWidth="1"/>
    <col min="8" max="8" width="14.28515625" bestFit="1" customWidth="1"/>
    <col min="9" max="9" width="14.5703125" bestFit="1" customWidth="1"/>
    <col min="10" max="10" width="15.28515625" bestFit="1" customWidth="1"/>
    <col min="11" max="11" width="13.28515625" bestFit="1" customWidth="1"/>
    <col min="12" max="12" width="16.28515625" bestFit="1" customWidth="1"/>
    <col min="13" max="13" width="17.85546875" bestFit="1" customWidth="1"/>
    <col min="14" max="14" width="15.28515625" bestFit="1" customWidth="1"/>
    <col min="15" max="15" width="17.28515625" bestFit="1" customWidth="1"/>
    <col min="16" max="16" width="17.7109375" bestFit="1" customWidth="1"/>
    <col min="17" max="17" width="16.140625" bestFit="1" customWidth="1"/>
    <col min="18" max="18" width="17.85546875" bestFit="1" customWidth="1"/>
  </cols>
  <sheetData>
    <row r="1" spans="1:18" s="24" customFormat="1" ht="18.75" customHeight="1">
      <c r="A1" s="48" t="s">
        <v>123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8" s="24" customFormat="1" ht="31.1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8" ht="4.9000000000000004" customHeight="1"/>
    <row r="4" spans="1:18">
      <c r="B4" t="s">
        <v>35</v>
      </c>
      <c r="C4" t="s">
        <v>0</v>
      </c>
      <c r="D4" t="s">
        <v>13</v>
      </c>
      <c r="E4" t="s">
        <v>20</v>
      </c>
      <c r="F4" t="s">
        <v>14</v>
      </c>
      <c r="G4" t="s">
        <v>19</v>
      </c>
      <c r="H4" t="s">
        <v>16</v>
      </c>
      <c r="I4" t="s">
        <v>15</v>
      </c>
      <c r="J4" t="s">
        <v>18</v>
      </c>
      <c r="K4" t="s">
        <v>17</v>
      </c>
      <c r="L4" t="s">
        <v>21</v>
      </c>
      <c r="M4" t="s">
        <v>22</v>
      </c>
      <c r="N4" t="s">
        <v>23</v>
      </c>
      <c r="O4" t="s">
        <v>29</v>
      </c>
      <c r="P4" t="s">
        <v>31</v>
      </c>
      <c r="Q4" t="s">
        <v>47</v>
      </c>
      <c r="R4" t="s">
        <v>34</v>
      </c>
    </row>
    <row r="5" spans="1:18">
      <c r="B5" t="s">
        <v>36</v>
      </c>
      <c r="C5" s="4" t="s">
        <v>2</v>
      </c>
      <c r="D5" s="5">
        <v>100</v>
      </c>
      <c r="E5" s="6">
        <f>+inventariof[[#This Row],[Stock Gramos]]/14</f>
        <v>7.1428571428571432</v>
      </c>
      <c r="F5" s="2">
        <v>270</v>
      </c>
      <c r="G5" s="2">
        <f>+inventariof[[#This Row],[Costo de F]]*14</f>
        <v>3780</v>
      </c>
      <c r="H5" s="2">
        <v>2100</v>
      </c>
      <c r="I5" s="2">
        <v>500</v>
      </c>
      <c r="J5" s="2">
        <v>1000</v>
      </c>
      <c r="K5" s="3">
        <f>+inventariof[[#This Row],[Costo x frasco]]+inventariof[[#This Row],[Costo Envase]]+inventariof[[#This Row],[Costo alchool]]+inventariof[[#This Row],[Costo logistico]]</f>
        <v>7380</v>
      </c>
      <c r="L5" s="3">
        <v>15000</v>
      </c>
      <c r="M5" s="3">
        <f>+inventariof[[#This Row],[Precio de venta]]-inventariof[[#This Row],[Total Frasco]]</f>
        <v>7620</v>
      </c>
      <c r="N5" s="3">
        <f>+inventariof[[#This Row],[Ganancia x frasco]]*inventariof[[#This Row],[Cantidad frasco]]</f>
        <v>54428.571428571435</v>
      </c>
      <c r="O5" s="3">
        <f>+inventariof[[#This Row],[Stock Gramos]]</f>
        <v>100</v>
      </c>
      <c r="P5" s="3">
        <f>+SUMIF(ventasf[Codigo],inventariof[[#This Row],[Codigo]],ventasf[Gramos Vendidos])</f>
        <v>14</v>
      </c>
      <c r="Q5" s="3">
        <f>+inventariof[[#This Row],[Gramos en Stock]]-inventariof[[#This Row],[Gramos vendidos]]</f>
        <v>86</v>
      </c>
      <c r="R5" s="3">
        <f>+inventariof[[#This Row],[Gramos actuales]]/14</f>
        <v>6.1428571428571432</v>
      </c>
    </row>
    <row r="6" spans="1:18">
      <c r="B6" t="s">
        <v>37</v>
      </c>
      <c r="C6" s="4" t="s">
        <v>3</v>
      </c>
      <c r="D6" s="5">
        <v>290</v>
      </c>
      <c r="E6" s="6">
        <f>+inventariof[[#This Row],[Stock Gramos]]/14</f>
        <v>20.714285714285715</v>
      </c>
      <c r="F6" s="2">
        <v>260</v>
      </c>
      <c r="G6" s="2">
        <f>+inventariof[[#This Row],[Costo de F]]*14</f>
        <v>3640</v>
      </c>
      <c r="H6" s="2">
        <v>2100</v>
      </c>
      <c r="I6" s="2">
        <v>500</v>
      </c>
      <c r="J6" s="2">
        <v>1000</v>
      </c>
      <c r="K6" s="3">
        <f>+inventariof[[#This Row],[Costo x frasco]]+inventariof[[#This Row],[Costo Envase]]+inventariof[[#This Row],[Costo alchool]]+inventariof[[#This Row],[Costo logistico]]</f>
        <v>7240</v>
      </c>
      <c r="L6" s="3">
        <v>15000</v>
      </c>
      <c r="M6" s="3">
        <f>+inventariof[[#This Row],[Precio de venta]]-inventariof[[#This Row],[Total Frasco]]</f>
        <v>7760</v>
      </c>
      <c r="N6" s="3">
        <f>+inventariof[[#This Row],[Ganancia x frasco]]*inventariof[[#This Row],[Cantidad frasco]]</f>
        <v>160742.85714285716</v>
      </c>
      <c r="O6" s="3">
        <f>+inventariof[[#This Row],[Stock Gramos]]</f>
        <v>290</v>
      </c>
      <c r="P6" s="3">
        <f>+SUMIF(ventasf[Codigo],inventariof[[#This Row],[Codigo]],ventasf[Gramos Vendidos])</f>
        <v>174</v>
      </c>
      <c r="Q6" s="3">
        <f>+inventariof[[#This Row],[Gramos en Stock]]-inventariof[[#This Row],[Gramos vendidos]]</f>
        <v>116</v>
      </c>
      <c r="R6" s="3">
        <f>+inventariof[[#This Row],[Gramos actuales]]/14</f>
        <v>8.2857142857142865</v>
      </c>
    </row>
    <row r="7" spans="1:18">
      <c r="B7" t="s">
        <v>38</v>
      </c>
      <c r="C7" s="16" t="s">
        <v>4</v>
      </c>
      <c r="D7" s="5">
        <v>100</v>
      </c>
      <c r="E7" s="6">
        <f>+inventariof[[#This Row],[Stock Gramos]]/14</f>
        <v>7.1428571428571432</v>
      </c>
      <c r="F7" s="2">
        <v>257</v>
      </c>
      <c r="G7" s="2">
        <f>+inventariof[[#This Row],[Costo de F]]*14</f>
        <v>3598</v>
      </c>
      <c r="H7" s="2">
        <v>2100</v>
      </c>
      <c r="I7" s="2">
        <v>500</v>
      </c>
      <c r="J7" s="2">
        <v>1000</v>
      </c>
      <c r="K7" s="3">
        <f>+inventariof[[#This Row],[Costo x frasco]]+inventariof[[#This Row],[Costo Envase]]+inventariof[[#This Row],[Costo alchool]]+inventariof[[#This Row],[Costo logistico]]</f>
        <v>7198</v>
      </c>
      <c r="L7" s="3">
        <v>15000</v>
      </c>
      <c r="M7" s="3">
        <f>+inventariof[[#This Row],[Precio de venta]]-inventariof[[#This Row],[Total Frasco]]</f>
        <v>7802</v>
      </c>
      <c r="N7" s="3">
        <f>+inventariof[[#This Row],[Ganancia x frasco]]*inventariof[[#This Row],[Cantidad frasco]]</f>
        <v>55728.571428571435</v>
      </c>
      <c r="O7" s="3">
        <f>+inventariof[[#This Row],[Stock Gramos]]</f>
        <v>100</v>
      </c>
      <c r="P7" s="3">
        <f>+SUMIF(ventasf[Codigo],inventariof[[#This Row],[Codigo]],ventasf[Gramos Vendidos])</f>
        <v>66</v>
      </c>
      <c r="Q7" s="3">
        <f>+inventariof[[#This Row],[Gramos en Stock]]-inventariof[[#This Row],[Gramos vendidos]]</f>
        <v>34</v>
      </c>
      <c r="R7" s="3">
        <f>+inventariof[[#This Row],[Gramos actuales]]/14</f>
        <v>2.4285714285714284</v>
      </c>
    </row>
    <row r="8" spans="1:18">
      <c r="B8" t="s">
        <v>110</v>
      </c>
      <c r="C8" s="4" t="s">
        <v>5</v>
      </c>
      <c r="D8" s="5">
        <v>100</v>
      </c>
      <c r="E8" s="6">
        <f>+inventariof[[#This Row],[Stock Gramos]]/14</f>
        <v>7.1428571428571432</v>
      </c>
      <c r="F8" s="2">
        <v>310</v>
      </c>
      <c r="G8" s="2">
        <f>+inventariof[[#This Row],[Costo de F]]*14</f>
        <v>4340</v>
      </c>
      <c r="H8" s="2">
        <v>2100</v>
      </c>
      <c r="I8" s="2">
        <v>500</v>
      </c>
      <c r="J8" s="2">
        <v>1000</v>
      </c>
      <c r="K8" s="3">
        <f>+inventariof[[#This Row],[Costo x frasco]]+inventariof[[#This Row],[Costo Envase]]+inventariof[[#This Row],[Costo alchool]]+inventariof[[#This Row],[Costo logistico]]</f>
        <v>7940</v>
      </c>
      <c r="L8" s="3">
        <v>15000</v>
      </c>
      <c r="M8" s="3">
        <f>+inventariof[[#This Row],[Precio de venta]]-inventariof[[#This Row],[Total Frasco]]</f>
        <v>7060</v>
      </c>
      <c r="N8" s="3">
        <f>+inventariof[[#This Row],[Ganancia x frasco]]*inventariof[[#This Row],[Cantidad frasco]]</f>
        <v>50428.571428571435</v>
      </c>
      <c r="O8" s="3">
        <f>+inventariof[[#This Row],[Stock Gramos]]</f>
        <v>100</v>
      </c>
      <c r="P8" s="3">
        <f>+SUMIF(ventasf[Codigo],inventariof[[#This Row],[Codigo]],ventasf[Gramos Vendidos])</f>
        <v>0</v>
      </c>
      <c r="Q8" s="3">
        <f>+inventariof[[#This Row],[Gramos en Stock]]-inventariof[[#This Row],[Gramos vendidos]]</f>
        <v>100</v>
      </c>
      <c r="R8" s="3">
        <f>+inventariof[[#This Row],[Gramos actuales]]/14</f>
        <v>7.1428571428571432</v>
      </c>
    </row>
    <row r="9" spans="1:18">
      <c r="B9" t="s">
        <v>39</v>
      </c>
      <c r="C9" s="44" t="s">
        <v>6</v>
      </c>
      <c r="D9" s="5">
        <v>198</v>
      </c>
      <c r="E9" s="6">
        <f>+inventariof[[#This Row],[Stock Gramos]]/14</f>
        <v>14.142857142857142</v>
      </c>
      <c r="F9" s="2">
        <v>260</v>
      </c>
      <c r="G9" s="2">
        <f>+inventariof[[#This Row],[Costo de F]]*14</f>
        <v>3640</v>
      </c>
      <c r="H9" s="2">
        <v>2100</v>
      </c>
      <c r="I9" s="2">
        <v>500</v>
      </c>
      <c r="J9" s="2">
        <v>1000</v>
      </c>
      <c r="K9" s="3">
        <f>+inventariof[[#This Row],[Costo x frasco]]+inventariof[[#This Row],[Costo Envase]]+inventariof[[#This Row],[Costo alchool]]+inventariof[[#This Row],[Costo logistico]]</f>
        <v>7240</v>
      </c>
      <c r="L9" s="3">
        <v>15000</v>
      </c>
      <c r="M9" s="3">
        <f>+inventariof[[#This Row],[Precio de venta]]-inventariof[[#This Row],[Total Frasco]]</f>
        <v>7760</v>
      </c>
      <c r="N9" s="3">
        <f>+inventariof[[#This Row],[Ganancia x frasco]]*inventariof[[#This Row],[Cantidad frasco]]</f>
        <v>109748.57142857142</v>
      </c>
      <c r="O9" s="3">
        <f>+inventariof[[#This Row],[Stock Gramos]]</f>
        <v>198</v>
      </c>
      <c r="P9" s="3">
        <f>+SUMIF(ventasf[Codigo],inventariof[[#This Row],[Codigo]],ventasf[Gramos Vendidos])</f>
        <v>193</v>
      </c>
      <c r="Q9" s="3">
        <f>+inventariof[[#This Row],[Gramos en Stock]]-inventariof[[#This Row],[Gramos vendidos]]</f>
        <v>5</v>
      </c>
      <c r="R9" s="3">
        <f>+inventariof[[#This Row],[Gramos actuales]]/14</f>
        <v>0.35714285714285715</v>
      </c>
    </row>
    <row r="10" spans="1:18">
      <c r="B10" t="s">
        <v>40</v>
      </c>
      <c r="C10" s="4" t="s">
        <v>7</v>
      </c>
      <c r="D10" s="5">
        <v>100</v>
      </c>
      <c r="E10" s="6">
        <f>+inventariof[[#This Row],[Stock Gramos]]/14</f>
        <v>7.1428571428571432</v>
      </c>
      <c r="F10" s="2">
        <v>310</v>
      </c>
      <c r="G10" s="2">
        <f>+inventariof[[#This Row],[Costo de F]]*14</f>
        <v>4340</v>
      </c>
      <c r="H10" s="2">
        <v>2100</v>
      </c>
      <c r="I10" s="2">
        <v>500</v>
      </c>
      <c r="J10" s="2">
        <v>1000</v>
      </c>
      <c r="K10" s="3">
        <f>+inventariof[[#This Row],[Costo x frasco]]+inventariof[[#This Row],[Costo Envase]]+inventariof[[#This Row],[Costo alchool]]+inventariof[[#This Row],[Costo logistico]]</f>
        <v>7940</v>
      </c>
      <c r="L10" s="3">
        <v>15000</v>
      </c>
      <c r="M10" s="3">
        <f>+inventariof[[#This Row],[Precio de venta]]-inventariof[[#This Row],[Total Frasco]]</f>
        <v>7060</v>
      </c>
      <c r="N10" s="3">
        <f>+inventariof[[#This Row],[Ganancia x frasco]]*inventariof[[#This Row],[Cantidad frasco]]</f>
        <v>50428.571428571435</v>
      </c>
      <c r="O10" s="3">
        <f>+inventariof[[#This Row],[Stock Gramos]]</f>
        <v>100</v>
      </c>
      <c r="P10" s="3">
        <f>+SUMIF(ventasf[Codigo],inventariof[[#This Row],[Codigo]],ventasf[Gramos Vendidos])</f>
        <v>59</v>
      </c>
      <c r="Q10" s="3">
        <f>+inventariof[[#This Row],[Gramos en Stock]]-inventariof[[#This Row],[Gramos vendidos]]</f>
        <v>41</v>
      </c>
      <c r="R10" s="3">
        <f>+inventariof[[#This Row],[Gramos actuales]]/14</f>
        <v>2.9285714285714284</v>
      </c>
    </row>
    <row r="11" spans="1:18">
      <c r="B11" t="s">
        <v>41</v>
      </c>
      <c r="C11" s="4" t="s">
        <v>8</v>
      </c>
      <c r="D11" s="5">
        <v>198</v>
      </c>
      <c r="E11" s="6">
        <f>+inventariof[[#This Row],[Stock Gramos]]/14</f>
        <v>14.142857142857142</v>
      </c>
      <c r="F11" s="2">
        <v>310</v>
      </c>
      <c r="G11" s="2">
        <f>+inventariof[[#This Row],[Costo de F]]*14</f>
        <v>4340</v>
      </c>
      <c r="H11" s="2">
        <v>2100</v>
      </c>
      <c r="I11" s="2">
        <v>500</v>
      </c>
      <c r="J11" s="2">
        <v>1000</v>
      </c>
      <c r="K11" s="3">
        <f>+inventariof[[#This Row],[Costo x frasco]]+inventariof[[#This Row],[Costo Envase]]+inventariof[[#This Row],[Costo alchool]]+inventariof[[#This Row],[Costo logistico]]</f>
        <v>7940</v>
      </c>
      <c r="L11" s="3">
        <v>15000</v>
      </c>
      <c r="M11" s="3">
        <f>+inventariof[[#This Row],[Precio de venta]]-inventariof[[#This Row],[Total Frasco]]</f>
        <v>7060</v>
      </c>
      <c r="N11" s="3">
        <f>+inventariof[[#This Row],[Ganancia x frasco]]*inventariof[[#This Row],[Cantidad frasco]]</f>
        <v>99848.57142857142</v>
      </c>
      <c r="O11" s="3">
        <f>+inventariof[[#This Row],[Stock Gramos]]</f>
        <v>198</v>
      </c>
      <c r="P11" s="3">
        <f>+SUMIF(ventasf[Codigo],inventariof[[#This Row],[Codigo]],ventasf[Gramos Vendidos])</f>
        <v>136</v>
      </c>
      <c r="Q11" s="3">
        <f>+inventariof[[#This Row],[Gramos en Stock]]-inventariof[[#This Row],[Gramos vendidos]]</f>
        <v>62</v>
      </c>
      <c r="R11" s="3">
        <f>+inventariof[[#This Row],[Gramos actuales]]/14</f>
        <v>4.4285714285714288</v>
      </c>
    </row>
    <row r="12" spans="1:18">
      <c r="B12" t="s">
        <v>42</v>
      </c>
      <c r="C12" s="4" t="s">
        <v>9</v>
      </c>
      <c r="D12" s="5">
        <v>100</v>
      </c>
      <c r="E12" s="6">
        <f>+inventariof[[#This Row],[Stock Gramos]]/14</f>
        <v>7.1428571428571432</v>
      </c>
      <c r="F12" s="2">
        <v>300</v>
      </c>
      <c r="G12" s="2">
        <f>+inventariof[[#This Row],[Costo de F]]*14</f>
        <v>4200</v>
      </c>
      <c r="H12" s="2">
        <v>2100</v>
      </c>
      <c r="I12" s="2">
        <v>500</v>
      </c>
      <c r="J12" s="2">
        <v>1000</v>
      </c>
      <c r="K12" s="3">
        <f>+inventariof[[#This Row],[Costo x frasco]]+inventariof[[#This Row],[Costo Envase]]+inventariof[[#This Row],[Costo alchool]]+inventariof[[#This Row],[Costo logistico]]</f>
        <v>7800</v>
      </c>
      <c r="L12" s="3">
        <v>15000</v>
      </c>
      <c r="M12" s="3">
        <f>+inventariof[[#This Row],[Precio de venta]]-inventariof[[#This Row],[Total Frasco]]</f>
        <v>7200</v>
      </c>
      <c r="N12" s="3">
        <f>+inventariof[[#This Row],[Ganancia x frasco]]*inventariof[[#This Row],[Cantidad frasco]]</f>
        <v>51428.571428571435</v>
      </c>
      <c r="O12" s="3">
        <f>+inventariof[[#This Row],[Stock Gramos]]</f>
        <v>100</v>
      </c>
      <c r="P12" s="3">
        <f>+SUMIF(ventasf[Codigo],inventariof[[#This Row],[Codigo]],ventasf[Gramos Vendidos])</f>
        <v>76</v>
      </c>
      <c r="Q12" s="3">
        <f>+inventariof[[#This Row],[Gramos en Stock]]-inventariof[[#This Row],[Gramos vendidos]]</f>
        <v>24</v>
      </c>
      <c r="R12" s="3">
        <f>+inventariof[[#This Row],[Gramos actuales]]/14</f>
        <v>1.7142857142857142</v>
      </c>
    </row>
    <row r="13" spans="1:18">
      <c r="B13" t="s">
        <v>43</v>
      </c>
      <c r="C13" s="44" t="s">
        <v>10</v>
      </c>
      <c r="D13" s="5">
        <v>290</v>
      </c>
      <c r="E13" s="6">
        <f>+inventariof[[#This Row],[Stock Gramos]]/14</f>
        <v>20.714285714285715</v>
      </c>
      <c r="F13" s="17">
        <v>290</v>
      </c>
      <c r="G13" s="17">
        <f>+inventariof[[#This Row],[Costo de F]]*14</f>
        <v>4060</v>
      </c>
      <c r="H13" s="2">
        <v>2100</v>
      </c>
      <c r="I13" s="2">
        <v>500</v>
      </c>
      <c r="J13" s="17">
        <v>1000</v>
      </c>
      <c r="K13" s="3">
        <f>+inventariof[[#This Row],[Costo x frasco]]+inventariof[[#This Row],[Costo Envase]]+inventariof[[#This Row],[Costo alchool]]+inventariof[[#This Row],[Costo logistico]]</f>
        <v>7660</v>
      </c>
      <c r="L13" s="3">
        <v>15000</v>
      </c>
      <c r="M13" s="3">
        <f>+inventariof[[#This Row],[Precio de venta]]-inventariof[[#This Row],[Total Frasco]]</f>
        <v>7340</v>
      </c>
      <c r="N13" s="3">
        <f>+inventariof[[#This Row],[Ganancia x frasco]]*inventariof[[#This Row],[Cantidad frasco]]</f>
        <v>152042.85714285716</v>
      </c>
      <c r="O13" s="3">
        <f>+inventariof[[#This Row],[Stock Gramos]]</f>
        <v>290</v>
      </c>
      <c r="P13" s="3">
        <f>+SUMIF(ventasf[Codigo],inventariof[[#This Row],[Codigo]],ventasf[Gramos Vendidos])</f>
        <v>255</v>
      </c>
      <c r="Q13" s="3">
        <f>+inventariof[[#This Row],[Gramos en Stock]]-inventariof[[#This Row],[Gramos vendidos]]</f>
        <v>35</v>
      </c>
      <c r="R13" s="3">
        <f>+inventariof[[#This Row],[Gramos actuales]]/14</f>
        <v>2.5</v>
      </c>
    </row>
    <row r="14" spans="1:18">
      <c r="B14" t="s">
        <v>44</v>
      </c>
      <c r="C14" s="4">
        <v>360</v>
      </c>
      <c r="D14" s="5">
        <v>100</v>
      </c>
      <c r="E14" s="6">
        <f>+inventariof[[#This Row],[Stock Gramos]]/14</f>
        <v>7.1428571428571432</v>
      </c>
      <c r="F14" s="2">
        <v>242</v>
      </c>
      <c r="G14" s="2">
        <f>+inventariof[[#This Row],[Costo de F]]*14</f>
        <v>3388</v>
      </c>
      <c r="H14" s="2">
        <v>2100</v>
      </c>
      <c r="I14" s="2">
        <v>500</v>
      </c>
      <c r="J14" s="2">
        <v>1000</v>
      </c>
      <c r="K14" s="3">
        <f>+inventariof[[#This Row],[Costo x frasco]]+inventariof[[#This Row],[Costo Envase]]+inventariof[[#This Row],[Costo alchool]]+inventariof[[#This Row],[Costo logistico]]</f>
        <v>6988</v>
      </c>
      <c r="L14" s="3">
        <v>15000</v>
      </c>
      <c r="M14" s="3">
        <f>+inventariof[[#This Row],[Precio de venta]]-inventariof[[#This Row],[Total Frasco]]</f>
        <v>8012</v>
      </c>
      <c r="N14" s="3">
        <f>+inventariof[[#This Row],[Ganancia x frasco]]*inventariof[[#This Row],[Cantidad frasco]]</f>
        <v>57228.571428571435</v>
      </c>
      <c r="O14" s="3">
        <f>+inventariof[[#This Row],[Stock Gramos]]</f>
        <v>100</v>
      </c>
      <c r="P14" s="3">
        <f>+SUMIF(ventasf[Codigo],inventariof[[#This Row],[Codigo]],ventasf[Gramos Vendidos])</f>
        <v>13</v>
      </c>
      <c r="Q14" s="3">
        <f>+inventariof[[#This Row],[Gramos en Stock]]-inventariof[[#This Row],[Gramos vendidos]]</f>
        <v>87</v>
      </c>
      <c r="R14" s="3">
        <f>+inventariof[[#This Row],[Gramos actuales]]/14</f>
        <v>6.2142857142857144</v>
      </c>
    </row>
    <row r="15" spans="1:18">
      <c r="B15" t="s">
        <v>45</v>
      </c>
      <c r="C15" s="44" t="s">
        <v>11</v>
      </c>
      <c r="D15" s="5">
        <v>195</v>
      </c>
      <c r="E15" s="6">
        <f>+inventariof[[#This Row],[Stock Gramos]]/14</f>
        <v>13.928571428571429</v>
      </c>
      <c r="F15" s="2">
        <v>270</v>
      </c>
      <c r="G15" s="2">
        <f>+inventariof[[#This Row],[Costo de F]]*14</f>
        <v>3780</v>
      </c>
      <c r="H15" s="2">
        <v>2100</v>
      </c>
      <c r="I15" s="2">
        <v>500</v>
      </c>
      <c r="J15" s="2">
        <v>1000</v>
      </c>
      <c r="K15" s="3">
        <f>+inventariof[[#This Row],[Costo x frasco]]+inventariof[[#This Row],[Costo Envase]]+inventariof[[#This Row],[Costo alchool]]+inventariof[[#This Row],[Costo logistico]]</f>
        <v>7380</v>
      </c>
      <c r="L15" s="3">
        <v>15000</v>
      </c>
      <c r="M15" s="3">
        <f>+inventariof[[#This Row],[Precio de venta]]-inventariof[[#This Row],[Total Frasco]]</f>
        <v>7620</v>
      </c>
      <c r="N15" s="3">
        <f>+inventariof[[#This Row],[Ganancia x frasco]]*inventariof[[#This Row],[Cantidad frasco]]</f>
        <v>106135.71428571429</v>
      </c>
      <c r="O15" s="3">
        <f>+inventariof[[#This Row],[Stock Gramos]]</f>
        <v>195</v>
      </c>
      <c r="P15" s="3">
        <f>+SUMIF(ventasf[Codigo],inventariof[[#This Row],[Codigo]],ventasf[Gramos Vendidos])</f>
        <v>155</v>
      </c>
      <c r="Q15" s="3">
        <f>+inventariof[[#This Row],[Gramos en Stock]]-inventariof[[#This Row],[Gramos vendidos]]</f>
        <v>40</v>
      </c>
      <c r="R15" s="3">
        <f>+inventariof[[#This Row],[Gramos actuales]]/14</f>
        <v>2.8571428571428572</v>
      </c>
    </row>
    <row r="16" spans="1:18">
      <c r="B16" t="s">
        <v>46</v>
      </c>
      <c r="C16" s="4" t="s">
        <v>12</v>
      </c>
      <c r="D16" s="5">
        <v>198</v>
      </c>
      <c r="E16" s="6">
        <f>+inventariof[[#This Row],[Stock Gramos]]/14</f>
        <v>14.142857142857142</v>
      </c>
      <c r="F16" s="2">
        <v>310</v>
      </c>
      <c r="G16" s="2">
        <f>+inventariof[[#This Row],[Costo de F]]*14</f>
        <v>4340</v>
      </c>
      <c r="H16" s="2">
        <v>2100</v>
      </c>
      <c r="I16" s="2">
        <v>500</v>
      </c>
      <c r="J16" s="2">
        <v>1000</v>
      </c>
      <c r="K16" s="3">
        <f>+inventariof[[#This Row],[Costo x frasco]]+inventariof[[#This Row],[Costo Envase]]+inventariof[[#This Row],[Costo alchool]]+inventariof[[#This Row],[Costo logistico]]</f>
        <v>7940</v>
      </c>
      <c r="L16" s="3">
        <v>15000</v>
      </c>
      <c r="M16" s="3">
        <f>+inventariof[[#This Row],[Precio de venta]]-inventariof[[#This Row],[Total Frasco]]</f>
        <v>7060</v>
      </c>
      <c r="N16" s="3">
        <f>+inventariof[[#This Row],[Ganancia x frasco]]*inventariof[[#This Row],[Cantidad frasco]]</f>
        <v>99848.57142857142</v>
      </c>
      <c r="O16" s="3">
        <f>+inventariof[[#This Row],[Stock Gramos]]</f>
        <v>198</v>
      </c>
      <c r="P16" s="3">
        <f>+SUMIF(ventasf[Codigo],inventariof[[#This Row],[Codigo]],ventasf[Gramos Vendidos])</f>
        <v>119</v>
      </c>
      <c r="Q16" s="3">
        <f>+inventariof[[#This Row],[Gramos en Stock]]-inventariof[[#This Row],[Gramos vendidos]]</f>
        <v>79</v>
      </c>
      <c r="R16" s="3">
        <f>+inventariof[[#This Row],[Gramos actuales]]/14</f>
        <v>5.6428571428571432</v>
      </c>
    </row>
    <row r="17" spans="2:18">
      <c r="B17" t="s">
        <v>60</v>
      </c>
      <c r="C17" s="4" t="s">
        <v>59</v>
      </c>
      <c r="D17" s="5">
        <v>200</v>
      </c>
      <c r="E17" s="6">
        <f>+inventariof[[#This Row],[Stock Gramos]]/14</f>
        <v>14.285714285714286</v>
      </c>
      <c r="F17" s="2">
        <v>290</v>
      </c>
      <c r="G17" s="2">
        <f>+inventariof[[#This Row],[Costo de F]]*14</f>
        <v>4060</v>
      </c>
      <c r="H17" s="2">
        <v>2100</v>
      </c>
      <c r="I17" s="2">
        <v>500</v>
      </c>
      <c r="J17" s="2">
        <v>1000</v>
      </c>
      <c r="K17" s="3">
        <f>+inventariof[[#This Row],[Costo x frasco]]+inventariof[[#This Row],[Costo Envase]]+inventariof[[#This Row],[Costo alchool]]+inventariof[[#This Row],[Costo logistico]]</f>
        <v>7660</v>
      </c>
      <c r="L17" s="3">
        <v>15000</v>
      </c>
      <c r="M17" s="3">
        <f>+inventariof[[#This Row],[Precio de venta]]-inventariof[[#This Row],[Total Frasco]]</f>
        <v>7340</v>
      </c>
      <c r="N17" s="3">
        <f>+inventariof[[#This Row],[Ganancia x frasco]]*inventariof[[#This Row],[Cantidad frasco]]</f>
        <v>104857.14285714287</v>
      </c>
      <c r="O17" s="3">
        <f>+inventariof[[#This Row],[Stock Gramos]]</f>
        <v>200</v>
      </c>
      <c r="P17" s="3">
        <f>+SUMIF(ventasf[Codigo],inventariof[[#This Row],[Codigo]],ventasf[Gramos Vendidos])</f>
        <v>164</v>
      </c>
      <c r="Q17" s="3">
        <f>+inventariof[[#This Row],[Gramos en Stock]]-inventariof[[#This Row],[Gramos vendidos]]</f>
        <v>36</v>
      </c>
      <c r="R17" s="3">
        <f>+inventariof[[#This Row],[Gramos actuales]]/14</f>
        <v>2.5714285714285716</v>
      </c>
    </row>
    <row r="18" spans="2:18">
      <c r="B18" t="s">
        <v>67</v>
      </c>
      <c r="C18" s="42" t="s">
        <v>68</v>
      </c>
      <c r="D18" s="5">
        <v>100</v>
      </c>
      <c r="E18" s="6">
        <f>+inventariof[[#This Row],[Stock Gramos]]/14</f>
        <v>7.1428571428571432</v>
      </c>
      <c r="F18" s="2">
        <v>330</v>
      </c>
      <c r="G18" s="2">
        <f>+inventariof[[#This Row],[Costo de F]]*14</f>
        <v>4620</v>
      </c>
      <c r="H18" s="2">
        <v>2100</v>
      </c>
      <c r="I18" s="2">
        <v>500</v>
      </c>
      <c r="J18" s="2">
        <v>1000</v>
      </c>
      <c r="K18" s="3">
        <f>+inventariof[[#This Row],[Costo x frasco]]+inventariof[[#This Row],[Costo Envase]]+inventariof[[#This Row],[Costo alchool]]+inventariof[[#This Row],[Costo logistico]]</f>
        <v>8220</v>
      </c>
      <c r="L18" s="3">
        <v>15000</v>
      </c>
      <c r="M18" s="3">
        <f>+inventariof[[#This Row],[Precio de venta]]-inventariof[[#This Row],[Total Frasco]]</f>
        <v>6780</v>
      </c>
      <c r="N18" s="3">
        <f>+inventariof[[#This Row],[Ganancia x frasco]]*inventariof[[#This Row],[Cantidad frasco]]</f>
        <v>48428.571428571428</v>
      </c>
      <c r="O18" s="3">
        <f>+inventariof[[#This Row],[Stock Gramos]]</f>
        <v>100</v>
      </c>
      <c r="P18" s="3">
        <f>+SUMIF(ventasf[Codigo],inventariof[[#This Row],[Codigo]],ventasf[Gramos Vendidos])</f>
        <v>73</v>
      </c>
      <c r="Q18" s="3">
        <f>+inventariof[[#This Row],[Gramos en Stock]]-inventariof[[#This Row],[Gramos vendidos]]</f>
        <v>27</v>
      </c>
      <c r="R18" s="3">
        <f>+inventariof[[#This Row],[Gramos actuales]]/14</f>
        <v>1.9285714285714286</v>
      </c>
    </row>
    <row r="19" spans="2:18">
      <c r="B19" t="s">
        <v>111</v>
      </c>
      <c r="C19" s="4">
        <v>212</v>
      </c>
      <c r="D19" s="5">
        <v>100</v>
      </c>
      <c r="E19" s="6">
        <f>+inventariof[[#This Row],[Stock Gramos]]/14</f>
        <v>7.1428571428571432</v>
      </c>
      <c r="F19" s="2">
        <v>290</v>
      </c>
      <c r="G19" s="2">
        <f>+inventariof[[#This Row],[Costo de F]]*14</f>
        <v>4060</v>
      </c>
      <c r="H19" s="2">
        <v>2100</v>
      </c>
      <c r="I19" s="2">
        <v>500</v>
      </c>
      <c r="J19" s="2">
        <v>1000</v>
      </c>
      <c r="K19" s="3">
        <f>+inventariof[[#This Row],[Costo x frasco]]+inventariof[[#This Row],[Costo Envase]]+inventariof[[#This Row],[Costo alchool]]+inventariof[[#This Row],[Costo logistico]]</f>
        <v>7660</v>
      </c>
      <c r="L19" s="3">
        <v>15000</v>
      </c>
      <c r="M19" s="3">
        <f>+inventariof[[#This Row],[Precio de venta]]-inventariof[[#This Row],[Total Frasco]]</f>
        <v>7340</v>
      </c>
      <c r="N19" s="3">
        <f>+inventariof[[#This Row],[Ganancia x frasco]]*inventariof[[#This Row],[Cantidad frasco]]</f>
        <v>52428.571428571435</v>
      </c>
      <c r="O19" s="3">
        <f>+inventariof[[#This Row],[Stock Gramos]]</f>
        <v>100</v>
      </c>
      <c r="P19" s="3">
        <f>+SUMIF(ventasf[Codigo],inventariof[[#This Row],[Codigo]],ventasf[Gramos Vendidos])</f>
        <v>0</v>
      </c>
      <c r="Q19" s="3">
        <f>+inventariof[[#This Row],[Gramos en Stock]]-inventariof[[#This Row],[Gramos vendidos]]</f>
        <v>100</v>
      </c>
      <c r="R19" s="3">
        <f>+inventariof[[#This Row],[Gramos actuales]]/14</f>
        <v>7.1428571428571432</v>
      </c>
    </row>
    <row r="20" spans="2:18">
      <c r="B20" t="s">
        <v>81</v>
      </c>
      <c r="C20" s="4" t="s">
        <v>76</v>
      </c>
      <c r="D20" s="5">
        <v>200</v>
      </c>
      <c r="E20" s="6">
        <f>+inventariof[[#This Row],[Stock Gramos]]/14</f>
        <v>14.285714285714286</v>
      </c>
      <c r="F20" s="2">
        <v>280</v>
      </c>
      <c r="G20" s="2">
        <f>+inventariof[[#This Row],[Costo de F]]*14</f>
        <v>3920</v>
      </c>
      <c r="H20" s="2">
        <v>2100</v>
      </c>
      <c r="I20" s="2">
        <v>500</v>
      </c>
      <c r="J20" s="2">
        <v>1000</v>
      </c>
      <c r="K20" s="3">
        <f>+inventariof[[#This Row],[Costo x frasco]]+inventariof[[#This Row],[Costo Envase]]+inventariof[[#This Row],[Costo alchool]]+inventariof[[#This Row],[Costo logistico]]</f>
        <v>7520</v>
      </c>
      <c r="L20" s="3">
        <v>15000</v>
      </c>
      <c r="M20" s="3">
        <f>+inventariof[[#This Row],[Precio de venta]]-inventariof[[#This Row],[Total Frasco]]</f>
        <v>7480</v>
      </c>
      <c r="N20" s="3">
        <f>+inventariof[[#This Row],[Ganancia x frasco]]*inventariof[[#This Row],[Cantidad frasco]]</f>
        <v>106857.14285714287</v>
      </c>
      <c r="O20" s="3">
        <f>+inventariof[[#This Row],[Stock Gramos]]</f>
        <v>200</v>
      </c>
      <c r="P20" s="3">
        <f>+SUMIF(ventasf[Codigo],inventariof[[#This Row],[Codigo]],ventasf[Gramos Vendidos])</f>
        <v>140</v>
      </c>
      <c r="Q20" s="3">
        <f>+inventariof[[#This Row],[Gramos en Stock]]-inventariof[[#This Row],[Gramos vendidos]]</f>
        <v>60</v>
      </c>
      <c r="R20" s="3">
        <f>+inventariof[[#This Row],[Gramos actuales]]/14</f>
        <v>4.2857142857142856</v>
      </c>
    </row>
    <row r="21" spans="2:18">
      <c r="B21" t="s">
        <v>83</v>
      </c>
      <c r="C21" s="4" t="s">
        <v>85</v>
      </c>
      <c r="D21" s="5">
        <v>100</v>
      </c>
      <c r="E21" s="6">
        <f>+inventariof[[#This Row],[Stock Gramos]]/14</f>
        <v>7.1428571428571432</v>
      </c>
      <c r="F21" s="2">
        <v>300</v>
      </c>
      <c r="G21" s="2">
        <f>+inventariof[[#This Row],[Costo de F]]*14</f>
        <v>4200</v>
      </c>
      <c r="H21" s="2">
        <v>2100</v>
      </c>
      <c r="I21" s="2">
        <v>500</v>
      </c>
      <c r="J21" s="2">
        <v>1000</v>
      </c>
      <c r="K21" s="3">
        <f>+inventariof[[#This Row],[Costo x frasco]]+inventariof[[#This Row],[Costo Envase]]+inventariof[[#This Row],[Costo alchool]]+inventariof[[#This Row],[Costo logistico]]</f>
        <v>7800</v>
      </c>
      <c r="L21" s="3">
        <v>15000</v>
      </c>
      <c r="M21" s="3">
        <f>+inventariof[[#This Row],[Precio de venta]]-inventariof[[#This Row],[Total Frasco]]</f>
        <v>7200</v>
      </c>
      <c r="N21" s="3">
        <f>+inventariof[[#This Row],[Ganancia x frasco]]*inventariof[[#This Row],[Cantidad frasco]]</f>
        <v>51428.571428571435</v>
      </c>
      <c r="O21" s="3">
        <f>+inventariof[[#This Row],[Stock Gramos]]</f>
        <v>100</v>
      </c>
      <c r="P21" s="3">
        <f>+SUMIF(ventasf[Codigo],inventariof[[#This Row],[Codigo]],ventasf[Gramos Vendidos])</f>
        <v>85</v>
      </c>
      <c r="Q21" s="3">
        <f>+inventariof[[#This Row],[Gramos en Stock]]-inventariof[[#This Row],[Gramos vendidos]]</f>
        <v>15</v>
      </c>
      <c r="R21" s="3">
        <f>+inventariof[[#This Row],[Gramos actuales]]/14</f>
        <v>1.0714285714285714</v>
      </c>
    </row>
    <row r="22" spans="2:18">
      <c r="B22" t="s">
        <v>84</v>
      </c>
      <c r="C22" s="4" t="s">
        <v>97</v>
      </c>
      <c r="D22" s="5">
        <v>100</v>
      </c>
      <c r="E22" s="6">
        <f>+inventariof[[#This Row],[Stock Gramos]]/14</f>
        <v>7.1428571428571432</v>
      </c>
      <c r="F22" s="2">
        <v>290</v>
      </c>
      <c r="G22" s="2">
        <f>+inventariof[[#This Row],[Costo de F]]*14</f>
        <v>4060</v>
      </c>
      <c r="H22" s="2">
        <v>2100</v>
      </c>
      <c r="I22" s="2">
        <v>500</v>
      </c>
      <c r="J22" s="2">
        <v>1000</v>
      </c>
      <c r="K22" s="3">
        <f>+inventariof[[#This Row],[Costo x frasco]]+inventariof[[#This Row],[Costo Envase]]+inventariof[[#This Row],[Costo alchool]]+inventariof[[#This Row],[Costo logistico]]</f>
        <v>7660</v>
      </c>
      <c r="L22" s="2">
        <f>+L18*1</f>
        <v>15000</v>
      </c>
      <c r="M22" s="3">
        <f>+inventariof[[#This Row],[Precio de venta]]-inventariof[[#This Row],[Total Frasco]]</f>
        <v>7340</v>
      </c>
      <c r="N22" s="3">
        <f>+inventariof[[#This Row],[Ganancia x frasco]]*inventariof[[#This Row],[Cantidad frasco]]</f>
        <v>52428.571428571435</v>
      </c>
      <c r="O22" s="3">
        <f>+inventariof[[#This Row],[Stock Gramos]]</f>
        <v>100</v>
      </c>
      <c r="P22" s="3">
        <f>+SUMIF(ventasf[Codigo],inventariof[[#This Row],[Codigo]],ventasf[Gramos Vendidos])</f>
        <v>40</v>
      </c>
      <c r="Q22" s="3">
        <f>+inventariof[[#This Row],[Gramos en Stock]]-inventariof[[#This Row],[Gramos vendidos]]</f>
        <v>60</v>
      </c>
      <c r="R22" s="3">
        <f>+inventariof[[#This Row],[Gramos actuales]]/14</f>
        <v>4.2857142857142856</v>
      </c>
    </row>
    <row r="23" spans="2:18">
      <c r="B23" t="s">
        <v>107</v>
      </c>
      <c r="C23" s="44" t="s">
        <v>108</v>
      </c>
      <c r="D23" s="5">
        <v>100</v>
      </c>
      <c r="E23" s="6">
        <f>+inventariof[[#This Row],[Stock Gramos]]/14</f>
        <v>7.1428571428571432</v>
      </c>
      <c r="F23" s="2">
        <v>350</v>
      </c>
      <c r="G23" s="2">
        <f>+inventariof[[#This Row],[Costo de F]]*14</f>
        <v>4900</v>
      </c>
      <c r="H23" s="2">
        <v>2100</v>
      </c>
      <c r="I23" s="2">
        <v>500</v>
      </c>
      <c r="J23" s="2">
        <v>1000</v>
      </c>
      <c r="K23" s="3">
        <f>+inventariof[[#This Row],[Costo x frasco]]+inventariof[[#This Row],[Costo Envase]]+inventariof[[#This Row],[Costo alchool]]+inventariof[[#This Row],[Costo logistico]]</f>
        <v>8500</v>
      </c>
      <c r="L23" s="2">
        <v>15000</v>
      </c>
      <c r="M23" s="3">
        <f>+inventariof[[#This Row],[Precio de venta]]-inventariof[[#This Row],[Total Frasco]]</f>
        <v>6500</v>
      </c>
      <c r="N23" s="3">
        <f>+inventariof[[#This Row],[Ganancia x frasco]]*inventariof[[#This Row],[Cantidad frasco]]</f>
        <v>46428.571428571428</v>
      </c>
      <c r="O23" s="3">
        <f>+inventariof[[#This Row],[Stock Gramos]]</f>
        <v>100</v>
      </c>
      <c r="P23" s="3">
        <f>+SUMIF(ventasf[Codigo],inventariof[[#This Row],[Codigo]],ventasf[Gramos Vendidos])</f>
        <v>75</v>
      </c>
      <c r="Q23" s="3">
        <f>+inventariof[[#This Row],[Gramos en Stock]]-inventariof[[#This Row],[Gramos vendidos]]</f>
        <v>25</v>
      </c>
      <c r="R23" s="3">
        <f>+inventariof[[#This Row],[Gramos actuales]]/14</f>
        <v>1.7857142857142858</v>
      </c>
    </row>
    <row r="24" spans="2:18">
      <c r="B24" s="7" t="s">
        <v>125</v>
      </c>
      <c r="C24" s="4" t="s">
        <v>126</v>
      </c>
      <c r="D24" s="5">
        <v>98</v>
      </c>
      <c r="E24" s="6">
        <f>+inventariof[[#This Row],[Stock Gramos]]/14</f>
        <v>7</v>
      </c>
      <c r="F24" s="2">
        <v>410</v>
      </c>
      <c r="G24" s="2">
        <f>+inventariof[[#This Row],[Costo de F]]*14</f>
        <v>5740</v>
      </c>
      <c r="H24" s="2">
        <v>2100</v>
      </c>
      <c r="I24" s="2">
        <v>500</v>
      </c>
      <c r="J24" s="2">
        <v>1000</v>
      </c>
      <c r="K24" s="3">
        <f>+inventariof[[#This Row],[Costo x frasco]]+inventariof[[#This Row],[Costo Envase]]+inventariof[[#This Row],[Costo alchool]]+inventariof[[#This Row],[Costo logistico]]</f>
        <v>9340</v>
      </c>
      <c r="L24" s="2">
        <v>15000</v>
      </c>
      <c r="M24" s="3">
        <f>+inventariof[[#This Row],[Precio de venta]]-inventariof[[#This Row],[Total Frasco]]</f>
        <v>5660</v>
      </c>
      <c r="N24" s="3">
        <f>+inventariof[[#This Row],[Ganancia x frasco]]*inventariof[[#This Row],[Cantidad frasco]]</f>
        <v>39620</v>
      </c>
      <c r="O24" s="3">
        <f>+inventariof[[#This Row],[Stock Gramos]]</f>
        <v>98</v>
      </c>
      <c r="P24" s="3">
        <f>+SUMIF(ventasf[Codigo],inventariof[[#This Row],[Codigo]],ventasf[Gramos Vendidos])</f>
        <v>30</v>
      </c>
      <c r="Q24" s="3">
        <f>+inventariof[[#This Row],[Gramos en Stock]]-inventariof[[#This Row],[Gramos vendidos]]</f>
        <v>68</v>
      </c>
      <c r="R24" s="3">
        <f>+inventariof[[#This Row],[Gramos actuales]]/14</f>
        <v>4.8571428571428568</v>
      </c>
    </row>
    <row r="25" spans="2:18">
      <c r="B25" s="4" t="s">
        <v>142</v>
      </c>
      <c r="C25" s="4" t="s">
        <v>143</v>
      </c>
      <c r="D25" s="5">
        <v>196</v>
      </c>
      <c r="E25" s="6">
        <f>+inventariof[[#This Row],[Stock Gramos]]/14</f>
        <v>14</v>
      </c>
      <c r="F25" s="2">
        <v>250</v>
      </c>
      <c r="G25" s="3">
        <f>+inventariof[[#This Row],[Costo de F]]*14</f>
        <v>3500</v>
      </c>
      <c r="H25" s="2">
        <v>1200</v>
      </c>
      <c r="I25" s="2">
        <v>500</v>
      </c>
      <c r="J25" s="2">
        <v>1000</v>
      </c>
      <c r="K25" s="3">
        <f>+inventariof[[#This Row],[Costo x frasco]]+inventariof[[#This Row],[Costo Envase]]+inventariof[[#This Row],[Costo alchool]]+inventariof[[#This Row],[Costo logistico]]</f>
        <v>6200</v>
      </c>
      <c r="L25" s="3">
        <v>10000</v>
      </c>
      <c r="M25" s="3">
        <f>+inventariof[[#This Row],[Precio de venta]]-inventariof[[#This Row],[Total Frasco]]</f>
        <v>3800</v>
      </c>
      <c r="N25" s="3">
        <f>+inventariof[[#This Row],[Ganancia x frasco]]*inventariof[[#This Row],[Cantidad frasco]]</f>
        <v>53200</v>
      </c>
      <c r="O25" s="3">
        <f>+inventariof[[#This Row],[Stock Gramos]]</f>
        <v>196</v>
      </c>
      <c r="P25" s="3">
        <f>+SUMIF(ventasf[Codigo],inventariof[[#This Row],[Codigo]],ventasf[Gramos Vendidos])</f>
        <v>60</v>
      </c>
      <c r="Q25" s="3">
        <f>+inventariof[[#This Row],[Gramos en Stock]]-inventariof[[#This Row],[Gramos vendidos]]</f>
        <v>136</v>
      </c>
      <c r="R25" s="3">
        <f>+inventariof[[#This Row],[Gramos actuales]]/14</f>
        <v>9.7142857142857135</v>
      </c>
    </row>
    <row r="26" spans="2:18">
      <c r="B26" s="4" t="s">
        <v>175</v>
      </c>
      <c r="C26" s="18" t="s">
        <v>177</v>
      </c>
      <c r="D26" s="5">
        <v>99</v>
      </c>
      <c r="E26" s="6">
        <f>+inventariof[[#This Row],[Stock Gramos]]/14</f>
        <v>7.0714285714285712</v>
      </c>
      <c r="F26" s="2">
        <v>235</v>
      </c>
      <c r="G26" s="3">
        <f>+inventariof[[#This Row],[Costo de F]]*14</f>
        <v>3290</v>
      </c>
      <c r="H26">
        <v>2100</v>
      </c>
      <c r="I26" s="2">
        <v>500</v>
      </c>
      <c r="J26" s="2">
        <v>1000</v>
      </c>
      <c r="K26" s="3">
        <f>+inventariof[[#This Row],[Costo x frasco]]+inventariof[[#This Row],[Costo Envase]]+inventariof[[#This Row],[Costo alchool]]+inventariof[[#This Row],[Costo logistico]]</f>
        <v>6890</v>
      </c>
      <c r="L26" s="3">
        <v>15000</v>
      </c>
      <c r="M26" s="3">
        <f>+inventariof[[#This Row],[Precio de venta]]-inventariof[[#This Row],[Total Frasco]]</f>
        <v>8110</v>
      </c>
      <c r="N26" s="3">
        <f>+inventariof[[#This Row],[Ganancia x frasco]]*inventariof[[#This Row],[Cantidad frasco]]</f>
        <v>57349.28571428571</v>
      </c>
      <c r="O26" s="3">
        <f>+inventariof[[#This Row],[Stock Gramos]]</f>
        <v>99</v>
      </c>
      <c r="P26" s="3">
        <f>+SUMIF(ventasf[Codigo],inventariof[[#This Row],[Codigo]],ventasf[Gramos Vendidos])</f>
        <v>0</v>
      </c>
      <c r="Q26" s="3">
        <f>+inventariof[[#This Row],[Gramos en Stock]]-inventariof[[#This Row],[Gramos vendidos]]</f>
        <v>99</v>
      </c>
      <c r="R26" s="3">
        <f>+inventariof[[#This Row],[Gramos actuales]]/14</f>
        <v>7.0714285714285712</v>
      </c>
    </row>
    <row r="27" spans="2:18">
      <c r="B27" s="4" t="s">
        <v>183</v>
      </c>
      <c r="C27" s="4" t="s">
        <v>184</v>
      </c>
      <c r="D27" s="5"/>
      <c r="E27" s="6">
        <f>+inventariof[[#This Row],[Stock Gramos]]/14</f>
        <v>0</v>
      </c>
      <c r="G27" s="3">
        <f>+inventariof[[#This Row],[Costo de F]]*14</f>
        <v>0</v>
      </c>
      <c r="I27" s="2"/>
      <c r="J27" s="2"/>
      <c r="K27" s="3">
        <f>+inventariof[[#This Row],[Costo x frasco]]+inventariof[[#This Row],[Costo Envase]]+inventariof[[#This Row],[Costo alchool]]+inventariof[[#This Row],[Costo logistico]]</f>
        <v>0</v>
      </c>
      <c r="L27" s="3">
        <f t="shared" ref="L27:L28" si="0">+$C$1</f>
        <v>0</v>
      </c>
      <c r="M27" s="3">
        <f>+inventariof[[#This Row],[Precio de venta]]-inventariof[[#This Row],[Total Frasco]]</f>
        <v>0</v>
      </c>
      <c r="N27" s="3">
        <f>+inventariof[[#This Row],[Ganancia x frasco]]*inventariof[[#This Row],[Cantidad frasco]]</f>
        <v>0</v>
      </c>
      <c r="O27" s="3">
        <f>+inventariof[[#This Row],[Stock Gramos]]</f>
        <v>0</v>
      </c>
      <c r="P27" s="3">
        <f>+SUMIF(ventasf[Codigo],inventariof[[#This Row],[Codigo]],ventasf[Gramos Vendidos])</f>
        <v>0</v>
      </c>
      <c r="Q27" s="3">
        <f>+inventariof[[#This Row],[Gramos en Stock]]-inventariof[[#This Row],[Gramos vendidos]]</f>
        <v>0</v>
      </c>
      <c r="R27" s="3">
        <f>+inventariof[[#This Row],[Gramos actuales]]/14</f>
        <v>0</v>
      </c>
    </row>
    <row r="28" spans="2:18">
      <c r="B28" s="4"/>
      <c r="C28" s="4"/>
      <c r="D28" s="5"/>
      <c r="E28" s="6">
        <f>+inventariof[[#This Row],[Stock Gramos]]/14</f>
        <v>0</v>
      </c>
      <c r="G28" s="3">
        <f>+inventariof[[#This Row],[Costo de F]]*14</f>
        <v>0</v>
      </c>
      <c r="I28" s="2"/>
      <c r="J28" s="2"/>
      <c r="K28" s="3">
        <f>+inventariof[[#This Row],[Costo x frasco]]+inventariof[[#This Row],[Costo Envase]]+inventariof[[#This Row],[Costo alchool]]+inventariof[[#This Row],[Costo logistico]]</f>
        <v>0</v>
      </c>
      <c r="L28" s="3">
        <f t="shared" si="0"/>
        <v>0</v>
      </c>
      <c r="M28" s="3">
        <f>+inventariof[[#This Row],[Precio de venta]]-inventariof[[#This Row],[Total Frasco]]</f>
        <v>0</v>
      </c>
      <c r="N28" s="3">
        <f>+inventariof[[#This Row],[Ganancia x frasco]]*inventariof[[#This Row],[Cantidad frasco]]</f>
        <v>0</v>
      </c>
      <c r="O28" s="3">
        <f>+inventariof[[#This Row],[Stock Gramos]]</f>
        <v>0</v>
      </c>
      <c r="P28" s="3">
        <f>+SUMIF(ventasf[Codigo],inventariof[[#This Row],[Codigo]],ventasf[Gramos Vendidos])</f>
        <v>0</v>
      </c>
      <c r="Q28" s="3">
        <f>+inventariof[[#This Row],[Gramos en Stock]]-inventariof[[#This Row],[Gramos vendidos]]</f>
        <v>0</v>
      </c>
      <c r="R28" s="3">
        <f>+inventariof[[#This Row],[Gramos actuales]]/14</f>
        <v>0</v>
      </c>
    </row>
  </sheetData>
  <mergeCells count="1">
    <mergeCell ref="A1:L2"/>
  </mergeCells>
  <phoneticPr fontId="3" type="noConversion"/>
  <pageMargins left="0.7" right="0.7" top="0.75" bottom="0.75" header="0.3" footer="0.3"/>
  <pageSetup orientation="portrait" r:id="rId1"/>
  <ignoredErrors>
    <ignoredError sqref="L5:L24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1FCF-910E-4B7C-9B4D-B79C86FB7F28}">
  <dimension ref="B2:N135"/>
  <sheetViews>
    <sheetView topLeftCell="E110" zoomScale="90" zoomScaleNormal="90" workbookViewId="0">
      <selection activeCell="M120" sqref="M120"/>
    </sheetView>
  </sheetViews>
  <sheetFormatPr baseColWidth="10" defaultRowHeight="15"/>
  <cols>
    <col min="4" max="4" width="29.28515625" bestFit="1" customWidth="1"/>
    <col min="5" max="5" width="18" bestFit="1" customWidth="1"/>
    <col min="6" max="6" width="31" bestFit="1" customWidth="1"/>
    <col min="7" max="7" width="23.42578125" bestFit="1" customWidth="1"/>
    <col min="9" max="9" width="13.5703125" bestFit="1" customWidth="1"/>
    <col min="10" max="10" width="17.5703125" bestFit="1" customWidth="1"/>
    <col min="11" max="11" width="19.7109375" bestFit="1" customWidth="1"/>
    <col min="12" max="12" width="18" bestFit="1" customWidth="1"/>
    <col min="13" max="13" width="32.85546875" bestFit="1" customWidth="1"/>
    <col min="14" max="14" width="20.42578125" bestFit="1" customWidth="1"/>
  </cols>
  <sheetData>
    <row r="2" spans="2:14">
      <c r="B2" t="s">
        <v>30</v>
      </c>
      <c r="C2" t="s">
        <v>35</v>
      </c>
      <c r="D2" t="s">
        <v>32</v>
      </c>
      <c r="E2" t="s">
        <v>33</v>
      </c>
      <c r="F2" t="s">
        <v>48</v>
      </c>
      <c r="G2" t="s">
        <v>62</v>
      </c>
      <c r="I2" t="s">
        <v>30</v>
      </c>
      <c r="J2" t="s">
        <v>35</v>
      </c>
      <c r="K2" t="s">
        <v>52</v>
      </c>
      <c r="L2" t="s">
        <v>33</v>
      </c>
      <c r="M2" t="s">
        <v>48</v>
      </c>
      <c r="N2" t="s">
        <v>62</v>
      </c>
    </row>
    <row r="3" spans="2:14">
      <c r="B3" s="11">
        <v>45749</v>
      </c>
      <c r="C3" t="s">
        <v>41</v>
      </c>
      <c r="D3" t="str">
        <f>+VLOOKUP(C3,inventariof[],2,FALSE)</f>
        <v>YARA CANDY</v>
      </c>
      <c r="E3">
        <v>20</v>
      </c>
      <c r="F3" s="10">
        <v>10000</v>
      </c>
      <c r="G3" s="2"/>
      <c r="I3" s="11">
        <v>45773</v>
      </c>
      <c r="J3" t="s">
        <v>56</v>
      </c>
      <c r="K3" t="str">
        <f>+VLOOKUP(ventasm[[#This Row],[Codigo]],inventariom[],2,FALSE)</f>
        <v>ONE MILLION ELIXIR</v>
      </c>
      <c r="L3">
        <v>14</v>
      </c>
      <c r="M3" s="2">
        <v>15000</v>
      </c>
      <c r="N3" s="2"/>
    </row>
    <row r="4" spans="2:14">
      <c r="B4" s="11">
        <v>45750</v>
      </c>
      <c r="C4" t="s">
        <v>37</v>
      </c>
      <c r="D4" t="str">
        <f>+VLOOKUP(C4,inventariof[],2,FALSE)</f>
        <v>GOOD GIRL</v>
      </c>
      <c r="E4">
        <v>15</v>
      </c>
      <c r="F4" s="10">
        <v>15000</v>
      </c>
      <c r="G4" s="2"/>
      <c r="I4" s="11">
        <v>45774</v>
      </c>
      <c r="J4" t="s">
        <v>50</v>
      </c>
      <c r="K4" t="str">
        <f>+VLOOKUP(ventasm[[#This Row],[Codigo]],inventariom[],2,FALSE)</f>
        <v>SAUVAGE ELIXIR</v>
      </c>
      <c r="L4">
        <v>30</v>
      </c>
      <c r="M4" s="2">
        <v>10000</v>
      </c>
      <c r="N4" s="2"/>
    </row>
    <row r="5" spans="2:14">
      <c r="B5" s="11">
        <v>45752</v>
      </c>
      <c r="C5" t="s">
        <v>39</v>
      </c>
      <c r="D5" t="str">
        <f>+VLOOKUP(C5,inventariof[],2,FALSE)</f>
        <v>BURBERRY HER</v>
      </c>
      <c r="E5">
        <v>20</v>
      </c>
      <c r="F5" s="10">
        <v>15000</v>
      </c>
      <c r="G5" s="2"/>
      <c r="I5" s="11">
        <v>45775</v>
      </c>
      <c r="J5" t="s">
        <v>56</v>
      </c>
      <c r="K5" t="str">
        <f>+VLOOKUP(ventasm[[#This Row],[Codigo]],inventariom[],2,FALSE)</f>
        <v>ONE MILLION ELIXIR</v>
      </c>
      <c r="L5">
        <v>30</v>
      </c>
      <c r="M5" s="2">
        <v>30000</v>
      </c>
      <c r="N5" s="2"/>
    </row>
    <row r="6" spans="2:14">
      <c r="B6" s="11">
        <v>45757</v>
      </c>
      <c r="C6" t="s">
        <v>42</v>
      </c>
      <c r="D6" t="str">
        <f>+VLOOKUP(C6,inventariof[],2,FALSE)</f>
        <v>SORBETTO ROSSO</v>
      </c>
      <c r="E6">
        <v>14</v>
      </c>
      <c r="F6" s="10">
        <v>10000</v>
      </c>
      <c r="G6" s="2"/>
      <c r="I6" s="11">
        <v>45776</v>
      </c>
      <c r="J6" t="s">
        <v>55</v>
      </c>
      <c r="K6">
        <f>+VLOOKUP(ventasm[[#This Row],[Codigo]],inventariom[],2,FALSE)</f>
        <v>0.875</v>
      </c>
      <c r="L6">
        <v>14</v>
      </c>
      <c r="M6" s="2">
        <v>15000</v>
      </c>
      <c r="N6" s="2"/>
    </row>
    <row r="7" spans="2:14">
      <c r="B7" s="11">
        <v>45759</v>
      </c>
      <c r="C7" t="s">
        <v>45</v>
      </c>
      <c r="D7" t="str">
        <f>+VLOOKUP(C7,inventariof[],2,FALSE)</f>
        <v>LIGHT BLUE</v>
      </c>
      <c r="E7">
        <v>14</v>
      </c>
      <c r="F7" s="10">
        <v>15000</v>
      </c>
      <c r="G7" s="2"/>
      <c r="I7" s="11">
        <v>45777</v>
      </c>
      <c r="J7" t="s">
        <v>55</v>
      </c>
      <c r="K7">
        <f>+VLOOKUP(ventasm[[#This Row],[Codigo]],inventariom[],2,FALSE)</f>
        <v>0.875</v>
      </c>
      <c r="L7">
        <v>14</v>
      </c>
      <c r="M7" s="2">
        <v>20000</v>
      </c>
      <c r="N7" s="2"/>
    </row>
    <row r="8" spans="2:14">
      <c r="B8" s="11">
        <v>45766</v>
      </c>
      <c r="C8" t="s">
        <v>41</v>
      </c>
      <c r="D8" t="str">
        <f>+VLOOKUP(C8,inventariof[],2,FALSE)</f>
        <v>YARA CANDY</v>
      </c>
      <c r="E8">
        <v>15</v>
      </c>
      <c r="F8" s="10">
        <v>10000</v>
      </c>
      <c r="G8" s="2"/>
      <c r="I8" s="11">
        <v>45778</v>
      </c>
      <c r="J8" t="s">
        <v>57</v>
      </c>
      <c r="K8" t="str">
        <f>+VLOOKUP(ventasm[[#This Row],[Codigo]],inventariom[],2,FALSE)</f>
        <v>ISSEY MIYAKE</v>
      </c>
      <c r="L8">
        <v>14</v>
      </c>
      <c r="M8" s="2">
        <v>15000</v>
      </c>
      <c r="N8" s="2"/>
    </row>
    <row r="9" spans="2:14">
      <c r="B9" s="11">
        <v>45771</v>
      </c>
      <c r="C9" t="s">
        <v>43</v>
      </c>
      <c r="D9" t="str">
        <f>+VLOOKUP(C9,inventariof[],2,FALSE)</f>
        <v>212 VIP ROSE</v>
      </c>
      <c r="E9">
        <v>15</v>
      </c>
      <c r="F9" s="10">
        <v>10000</v>
      </c>
      <c r="G9" s="2"/>
      <c r="I9" s="11">
        <v>45779</v>
      </c>
      <c r="J9" t="s">
        <v>56</v>
      </c>
      <c r="K9" t="str">
        <f>+VLOOKUP(ventasm[[#This Row],[Codigo]],inventariom[],2,FALSE)</f>
        <v>ONE MILLION ELIXIR</v>
      </c>
      <c r="L9">
        <v>14</v>
      </c>
      <c r="M9" s="2">
        <v>15000</v>
      </c>
      <c r="N9" s="2"/>
    </row>
    <row r="10" spans="2:14">
      <c r="B10" s="11">
        <v>45772</v>
      </c>
      <c r="C10" t="s">
        <v>40</v>
      </c>
      <c r="D10" t="str">
        <f>+VLOOKUP(C10,inventariof[],2,FALSE)</f>
        <v>YARA</v>
      </c>
      <c r="E10">
        <v>15</v>
      </c>
      <c r="F10" s="10">
        <v>10000</v>
      </c>
      <c r="G10" s="2"/>
      <c r="I10" s="11">
        <v>45780</v>
      </c>
      <c r="J10" t="s">
        <v>50</v>
      </c>
      <c r="K10" t="str">
        <f>+VLOOKUP(ventasm[[#This Row],[Codigo]],inventariom[],2,FALSE)</f>
        <v>SAUVAGE ELIXIR</v>
      </c>
      <c r="L10">
        <v>14</v>
      </c>
      <c r="M10" s="2">
        <v>15000</v>
      </c>
      <c r="N10" s="2"/>
    </row>
    <row r="11" spans="2:14">
      <c r="B11" s="11">
        <v>45773</v>
      </c>
      <c r="C11" t="s">
        <v>40</v>
      </c>
      <c r="D11" t="str">
        <f>+VLOOKUP(C11,inventariof[],2,FALSE)</f>
        <v>YARA</v>
      </c>
      <c r="E11">
        <v>15</v>
      </c>
      <c r="F11" s="10">
        <v>10000</v>
      </c>
      <c r="G11" s="2"/>
      <c r="I11" s="11">
        <v>45781</v>
      </c>
      <c r="J11" t="s">
        <v>50</v>
      </c>
      <c r="K11" t="str">
        <f>+VLOOKUP(ventasm[[#This Row],[Codigo]],inventariom[],2,FALSE)</f>
        <v>SAUVAGE ELIXIR</v>
      </c>
      <c r="L11">
        <v>20</v>
      </c>
      <c r="M11" s="2">
        <v>13000</v>
      </c>
    </row>
    <row r="12" spans="2:14">
      <c r="B12" s="11">
        <v>45774</v>
      </c>
      <c r="C12" t="s">
        <v>41</v>
      </c>
      <c r="D12" t="str">
        <f>+VLOOKUP(C12,inventariof[],2,FALSE)</f>
        <v>YARA CANDY</v>
      </c>
      <c r="E12">
        <v>14</v>
      </c>
      <c r="F12" s="10">
        <v>10000</v>
      </c>
      <c r="G12" s="2"/>
      <c r="I12" s="11">
        <v>45782</v>
      </c>
      <c r="J12" t="s">
        <v>56</v>
      </c>
      <c r="K12" t="str">
        <f>+VLOOKUP(ventasm[[#This Row],[Codigo]],inventariom[],2,FALSE)</f>
        <v>ONE MILLION ELIXIR</v>
      </c>
      <c r="L12">
        <v>14</v>
      </c>
      <c r="M12" s="2">
        <v>10000</v>
      </c>
    </row>
    <row r="13" spans="2:14">
      <c r="B13" s="11">
        <v>45774</v>
      </c>
      <c r="C13" t="s">
        <v>45</v>
      </c>
      <c r="D13" t="str">
        <f>+VLOOKUP(C13,inventariof[],2,FALSE)</f>
        <v>LIGHT BLUE</v>
      </c>
      <c r="E13">
        <v>14</v>
      </c>
      <c r="F13" s="10">
        <v>10000</v>
      </c>
      <c r="G13" s="2"/>
      <c r="I13" s="11">
        <v>45783</v>
      </c>
      <c r="J13" t="s">
        <v>56</v>
      </c>
      <c r="K13" t="str">
        <f>+VLOOKUP(ventasm[[#This Row],[Codigo]],inventariom[],2,FALSE)</f>
        <v>ONE MILLION ELIXIR</v>
      </c>
      <c r="L13">
        <v>14</v>
      </c>
      <c r="M13" s="17">
        <v>15000</v>
      </c>
      <c r="N13" s="15"/>
    </row>
    <row r="14" spans="2:14">
      <c r="B14" s="11">
        <v>45775</v>
      </c>
      <c r="C14" t="s">
        <v>44</v>
      </c>
      <c r="D14" s="5">
        <f>+VLOOKUP(C14,inventariof[],2,FALSE)</f>
        <v>360</v>
      </c>
      <c r="E14">
        <v>13</v>
      </c>
      <c r="F14" s="10">
        <v>10000</v>
      </c>
      <c r="G14" s="2"/>
      <c r="I14" s="11">
        <v>45784</v>
      </c>
      <c r="J14" t="s">
        <v>57</v>
      </c>
      <c r="K14" t="str">
        <f>+VLOOKUP(ventasm[[#This Row],[Codigo]],inventariom[],2,FALSE)</f>
        <v>ISSEY MIYAKE</v>
      </c>
      <c r="L14">
        <v>50</v>
      </c>
      <c r="M14" s="2">
        <v>60000</v>
      </c>
    </row>
    <row r="15" spans="2:14">
      <c r="B15" s="11">
        <v>45775</v>
      </c>
      <c r="C15" t="s">
        <v>39</v>
      </c>
      <c r="D15" t="str">
        <f>+VLOOKUP(C15,inventariof[],2,FALSE)</f>
        <v>BURBERRY HER</v>
      </c>
      <c r="E15">
        <v>14</v>
      </c>
      <c r="F15" s="10">
        <v>10000</v>
      </c>
      <c r="G15" s="2"/>
      <c r="I15" s="11">
        <v>45785</v>
      </c>
      <c r="J15" t="s">
        <v>57</v>
      </c>
      <c r="K15" t="str">
        <f>+VLOOKUP(ventasm[[#This Row],[Codigo]],inventariom[],2,FALSE)</f>
        <v>ISSEY MIYAKE</v>
      </c>
      <c r="L15">
        <v>14</v>
      </c>
      <c r="M15" s="2">
        <v>10000</v>
      </c>
    </row>
    <row r="16" spans="2:14">
      <c r="B16" s="11">
        <v>45775</v>
      </c>
      <c r="C16" t="s">
        <v>41</v>
      </c>
      <c r="D16" t="str">
        <f>+VLOOKUP(C16,inventariof[],2,FALSE)</f>
        <v>YARA CANDY</v>
      </c>
      <c r="E16">
        <v>14</v>
      </c>
      <c r="F16" s="10">
        <v>10000</v>
      </c>
      <c r="G16" s="2"/>
      <c r="I16" s="11">
        <v>45786</v>
      </c>
      <c r="J16" t="s">
        <v>57</v>
      </c>
      <c r="K16" t="str">
        <f>+VLOOKUP(ventasm[[#This Row],[Codigo]],inventariom[],2,FALSE)</f>
        <v>ISSEY MIYAKE</v>
      </c>
      <c r="L16">
        <v>14</v>
      </c>
      <c r="M16" s="2">
        <v>10000</v>
      </c>
    </row>
    <row r="17" spans="2:14">
      <c r="B17" s="11">
        <v>45776</v>
      </c>
      <c r="C17" t="s">
        <v>60</v>
      </c>
      <c r="D17" t="str">
        <f>+VLOOKUP(C17,inventariof[],2,FALSE)</f>
        <v>TOY 2</v>
      </c>
      <c r="E17">
        <v>14</v>
      </c>
      <c r="F17" s="10">
        <v>13000</v>
      </c>
      <c r="G17" s="2"/>
      <c r="H17" s="15"/>
      <c r="I17" s="11">
        <v>45787</v>
      </c>
      <c r="J17" t="s">
        <v>58</v>
      </c>
      <c r="K17" t="str">
        <f>+VLOOKUP(ventasm[[#This Row],[Codigo]],inventariom[],2,FALSE)</f>
        <v>LE MALE ELIXIR J.P</v>
      </c>
      <c r="L17">
        <v>60</v>
      </c>
      <c r="M17" s="2">
        <v>100000</v>
      </c>
    </row>
    <row r="18" spans="2:14">
      <c r="B18" s="11">
        <v>45777</v>
      </c>
      <c r="C18" t="s">
        <v>46</v>
      </c>
      <c r="D18" t="str">
        <f>+VLOOKUP(C18,inventariof[],2,FALSE)</f>
        <v>ARIANA GRANDE CLOUD</v>
      </c>
      <c r="E18">
        <v>14</v>
      </c>
      <c r="F18" s="10">
        <v>15000</v>
      </c>
      <c r="G18" s="2"/>
      <c r="I18" s="11">
        <v>45788</v>
      </c>
      <c r="J18" t="s">
        <v>55</v>
      </c>
      <c r="K18">
        <f>+VLOOKUP(ventasm[[#This Row],[Codigo]],inventariom[],2,FALSE)</f>
        <v>0.875</v>
      </c>
      <c r="L18">
        <v>14</v>
      </c>
      <c r="M18" s="2">
        <v>10000</v>
      </c>
    </row>
    <row r="19" spans="2:14">
      <c r="B19" s="11">
        <v>45778</v>
      </c>
      <c r="C19" t="s">
        <v>38</v>
      </c>
      <c r="D19" t="str">
        <f>+VLOOKUP(C19,inventariof[],2,FALSE)</f>
        <v>FANTASY</v>
      </c>
      <c r="E19">
        <v>14</v>
      </c>
      <c r="F19" s="10">
        <v>15000</v>
      </c>
      <c r="G19" s="17"/>
      <c r="I19" s="11">
        <v>45789</v>
      </c>
      <c r="J19" t="s">
        <v>50</v>
      </c>
      <c r="K19" t="str">
        <f>+VLOOKUP(ventasm[[#This Row],[Codigo]],inventariom[],2,FALSE)</f>
        <v>SAUVAGE ELIXIR</v>
      </c>
      <c r="L19">
        <v>20</v>
      </c>
      <c r="M19" s="2">
        <v>10000</v>
      </c>
      <c r="N19" s="15"/>
    </row>
    <row r="20" spans="2:14">
      <c r="B20" s="11">
        <v>45779</v>
      </c>
      <c r="C20" t="s">
        <v>38</v>
      </c>
      <c r="D20" t="str">
        <f>+VLOOKUP(C20,inventariof[],2,FALSE)</f>
        <v>FANTASY</v>
      </c>
      <c r="E20">
        <v>18</v>
      </c>
      <c r="F20" s="10">
        <v>20000</v>
      </c>
      <c r="G20" s="2"/>
      <c r="I20" s="11">
        <v>45790</v>
      </c>
      <c r="J20" t="s">
        <v>57</v>
      </c>
      <c r="K20" t="str">
        <f>+VLOOKUP(ventasm[[#This Row],[Codigo]],inventariom[],2,FALSE)</f>
        <v>ISSEY MIYAKE</v>
      </c>
      <c r="L20">
        <v>14</v>
      </c>
      <c r="M20" s="2">
        <v>12000</v>
      </c>
      <c r="N20" s="15"/>
    </row>
    <row r="21" spans="2:14">
      <c r="B21" s="11">
        <v>45780</v>
      </c>
      <c r="C21" t="s">
        <v>43</v>
      </c>
      <c r="D21" t="str">
        <f>+VLOOKUP(C21,inventariof[],2,FALSE)</f>
        <v>212 VIP ROSE</v>
      </c>
      <c r="E21">
        <v>14</v>
      </c>
      <c r="F21" s="10">
        <v>10000</v>
      </c>
      <c r="G21" s="2"/>
      <c r="I21" s="11">
        <v>45791</v>
      </c>
      <c r="J21" t="s">
        <v>56</v>
      </c>
      <c r="K21" t="str">
        <f>+VLOOKUP(ventasm[[#This Row],[Codigo]],inventariom[],2,FALSE)</f>
        <v>ONE MILLION ELIXIR</v>
      </c>
      <c r="L21">
        <v>14</v>
      </c>
      <c r="M21" s="2">
        <v>12000</v>
      </c>
      <c r="N21" s="15"/>
    </row>
    <row r="22" spans="2:14">
      <c r="B22" s="11">
        <v>45781</v>
      </c>
      <c r="C22" t="s">
        <v>43</v>
      </c>
      <c r="D22" t="str">
        <f>+VLOOKUP(C22,inventariof[],2,FALSE)</f>
        <v>212 VIP ROSE</v>
      </c>
      <c r="E22">
        <v>14</v>
      </c>
      <c r="F22" s="10">
        <v>10000</v>
      </c>
      <c r="G22" s="2"/>
      <c r="I22" s="11">
        <v>45792</v>
      </c>
      <c r="J22" t="s">
        <v>56</v>
      </c>
      <c r="K22" t="str">
        <f>+VLOOKUP(ventasm[[#This Row],[Codigo]],inventariom[],2,FALSE)</f>
        <v>ONE MILLION ELIXIR</v>
      </c>
      <c r="L22">
        <v>14</v>
      </c>
      <c r="M22" s="2">
        <v>15000</v>
      </c>
    </row>
    <row r="23" spans="2:14">
      <c r="B23" s="11">
        <v>45782</v>
      </c>
      <c r="C23" t="s">
        <v>43</v>
      </c>
      <c r="D23" t="str">
        <f>+VLOOKUP(C23,inventariof[],2,FALSE)</f>
        <v>212 VIP ROSE</v>
      </c>
      <c r="E23">
        <v>14</v>
      </c>
      <c r="F23" s="10">
        <v>10000</v>
      </c>
      <c r="G23" s="2"/>
      <c r="I23" s="11">
        <v>45793</v>
      </c>
      <c r="J23" t="s">
        <v>58</v>
      </c>
      <c r="K23" t="str">
        <f>+VLOOKUP(ventasm[[#This Row],[Codigo]],inventariom[],2,FALSE)</f>
        <v>LE MALE ELIXIR J.P</v>
      </c>
      <c r="L23">
        <v>20</v>
      </c>
      <c r="M23" s="2">
        <v>20000</v>
      </c>
      <c r="N23" s="2"/>
    </row>
    <row r="24" spans="2:14">
      <c r="B24" s="11">
        <v>45783</v>
      </c>
      <c r="C24" t="s">
        <v>43</v>
      </c>
      <c r="D24" t="str">
        <f>+VLOOKUP(C24,inventariof[],2,FALSE)</f>
        <v>212 VIP ROSE</v>
      </c>
      <c r="E24">
        <v>14</v>
      </c>
      <c r="F24" s="10">
        <v>15000</v>
      </c>
      <c r="G24" s="2"/>
      <c r="I24" s="11">
        <v>45794</v>
      </c>
      <c r="J24" t="s">
        <v>57</v>
      </c>
      <c r="K24" t="str">
        <f>+VLOOKUP(ventasm[[#This Row],[Codigo]],inventariom[],2,FALSE)</f>
        <v>ISSEY MIYAKE</v>
      </c>
      <c r="L24">
        <v>14</v>
      </c>
      <c r="M24" s="2">
        <v>15000</v>
      </c>
      <c r="N24" s="2"/>
    </row>
    <row r="25" spans="2:14">
      <c r="B25" s="11">
        <v>45784</v>
      </c>
      <c r="C25" t="s">
        <v>38</v>
      </c>
      <c r="D25" t="str">
        <f>+VLOOKUP(C25,inventariof[],2,FALSE)</f>
        <v>FANTASY</v>
      </c>
      <c r="E25">
        <v>20</v>
      </c>
      <c r="F25" s="10">
        <v>20000</v>
      </c>
      <c r="G25" s="2"/>
      <c r="I25" s="11">
        <v>45795</v>
      </c>
      <c r="J25" t="s">
        <v>57</v>
      </c>
      <c r="K25" t="str">
        <f>+VLOOKUP(ventasm[[#This Row],[Codigo]],inventariom[],2,FALSE)</f>
        <v>ISSEY MIYAKE</v>
      </c>
      <c r="L25">
        <v>30</v>
      </c>
      <c r="M25" s="2">
        <v>15000</v>
      </c>
      <c r="N25" s="2"/>
    </row>
    <row r="26" spans="2:14">
      <c r="B26" s="11">
        <v>45785</v>
      </c>
      <c r="C26" t="s">
        <v>40</v>
      </c>
      <c r="D26" t="str">
        <f>+VLOOKUP(C26,inventariof[],2,FALSE)</f>
        <v>YARA</v>
      </c>
      <c r="E26">
        <v>15</v>
      </c>
      <c r="F26" s="10">
        <v>15000</v>
      </c>
      <c r="G26" s="2"/>
      <c r="I26" s="11">
        <v>45796</v>
      </c>
      <c r="J26" t="s">
        <v>57</v>
      </c>
      <c r="K26" t="str">
        <f>+VLOOKUP(ventasm[[#This Row],[Codigo]],inventariom[],2,FALSE)</f>
        <v>ISSEY MIYAKE</v>
      </c>
      <c r="L26">
        <v>14</v>
      </c>
      <c r="M26" s="2">
        <v>15000</v>
      </c>
      <c r="N26" s="2"/>
    </row>
    <row r="27" spans="2:14">
      <c r="B27" s="11">
        <v>45786</v>
      </c>
      <c r="C27" t="s">
        <v>42</v>
      </c>
      <c r="D27" t="str">
        <f>+VLOOKUP(C27,inventariof[],2,FALSE)</f>
        <v>SORBETTO ROSSO</v>
      </c>
      <c r="E27">
        <v>20</v>
      </c>
      <c r="F27" s="10">
        <v>20000</v>
      </c>
      <c r="G27" s="2"/>
      <c r="I27" s="11">
        <v>45797</v>
      </c>
      <c r="J27" t="s">
        <v>57</v>
      </c>
      <c r="K27" t="str">
        <f>+VLOOKUP(ventasm[[#This Row],[Codigo]],inventariom[],2,FALSE)</f>
        <v>ISSEY MIYAKE</v>
      </c>
      <c r="L27">
        <v>14</v>
      </c>
      <c r="M27" s="2">
        <v>11000</v>
      </c>
      <c r="N27" s="2"/>
    </row>
    <row r="28" spans="2:14">
      <c r="B28" s="11">
        <v>45787</v>
      </c>
      <c r="C28" t="s">
        <v>37</v>
      </c>
      <c r="D28" t="str">
        <f>+VLOOKUP(C28,inventariof[],2,FALSE)</f>
        <v>GOOD GIRL</v>
      </c>
      <c r="E28">
        <v>14</v>
      </c>
      <c r="F28" s="10">
        <v>10000</v>
      </c>
      <c r="G28" s="2"/>
      <c r="I28" s="11">
        <v>45798</v>
      </c>
      <c r="J28" t="s">
        <v>57</v>
      </c>
      <c r="K28" t="str">
        <f>+VLOOKUP(ventasm[[#This Row],[Codigo]],inventariom[],2,FALSE)</f>
        <v>ISSEY MIYAKE</v>
      </c>
      <c r="L28">
        <v>14</v>
      </c>
      <c r="M28" s="2">
        <v>11000</v>
      </c>
      <c r="N28" s="2"/>
    </row>
    <row r="29" spans="2:14">
      <c r="B29" s="11">
        <v>45788</v>
      </c>
      <c r="C29" t="s">
        <v>60</v>
      </c>
      <c r="D29" t="str">
        <f>+VLOOKUP(C29,inventariof[],2,FALSE)</f>
        <v>TOY 2</v>
      </c>
      <c r="E29">
        <v>15</v>
      </c>
      <c r="F29" s="10">
        <v>10000</v>
      </c>
      <c r="G29" s="2"/>
      <c r="I29" s="11">
        <v>45799</v>
      </c>
      <c r="J29" t="s">
        <v>50</v>
      </c>
      <c r="K29" t="str">
        <f>+VLOOKUP(ventasm[[#This Row],[Codigo]],inventariom[],2,FALSE)</f>
        <v>SAUVAGE ELIXIR</v>
      </c>
      <c r="L29">
        <v>14</v>
      </c>
      <c r="M29" s="2">
        <v>11000</v>
      </c>
      <c r="N29" s="2"/>
    </row>
    <row r="30" spans="2:14">
      <c r="B30" s="11">
        <v>45789</v>
      </c>
      <c r="C30" t="s">
        <v>67</v>
      </c>
      <c r="D30" t="str">
        <f>+VLOOKUP(C30,inventariof[],2,FALSE)</f>
        <v>OLIMPEA</v>
      </c>
      <c r="E30">
        <v>20</v>
      </c>
      <c r="F30" s="10">
        <v>13000</v>
      </c>
      <c r="G30" s="2"/>
      <c r="I30" s="11">
        <v>45800</v>
      </c>
      <c r="J30" t="s">
        <v>50</v>
      </c>
      <c r="K30" t="str">
        <f>+VLOOKUP(ventasm[[#This Row],[Codigo]],inventariom[],2,FALSE)</f>
        <v>SAUVAGE ELIXIR</v>
      </c>
      <c r="L30">
        <v>14</v>
      </c>
      <c r="M30" s="2">
        <v>11000</v>
      </c>
      <c r="N30" s="2"/>
    </row>
    <row r="31" spans="2:14">
      <c r="B31" s="11">
        <v>45803</v>
      </c>
      <c r="C31" t="s">
        <v>60</v>
      </c>
      <c r="D31" t="str">
        <f>+VLOOKUP(C31,inventariof[],2,FALSE)</f>
        <v>TOY 2</v>
      </c>
      <c r="E31">
        <v>14</v>
      </c>
      <c r="F31" s="10">
        <v>12000</v>
      </c>
      <c r="G31" s="2"/>
      <c r="I31" s="11">
        <v>45801</v>
      </c>
      <c r="J31" t="s">
        <v>56</v>
      </c>
      <c r="K31" t="str">
        <f>+VLOOKUP(ventasm[[#This Row],[Codigo]],inventariom[],2,FALSE)</f>
        <v>ONE MILLION ELIXIR</v>
      </c>
      <c r="L31">
        <v>14</v>
      </c>
      <c r="M31" s="2">
        <v>11000</v>
      </c>
      <c r="N31" s="2"/>
    </row>
    <row r="32" spans="2:14">
      <c r="B32" s="11">
        <v>45804</v>
      </c>
      <c r="C32" t="s">
        <v>45</v>
      </c>
      <c r="D32" t="str">
        <f>+VLOOKUP(C32,inventariof[],2,FALSE)</f>
        <v>LIGHT BLUE</v>
      </c>
      <c r="E32">
        <v>14</v>
      </c>
      <c r="F32" s="10">
        <v>12000</v>
      </c>
      <c r="G32" s="2"/>
      <c r="I32" s="11">
        <v>45802</v>
      </c>
      <c r="J32" t="s">
        <v>56</v>
      </c>
      <c r="K32" t="str">
        <f>+VLOOKUP(ventasm[[#This Row],[Codigo]],inventariom[],2,FALSE)</f>
        <v>ONE MILLION ELIXIR</v>
      </c>
      <c r="L32">
        <v>14</v>
      </c>
      <c r="M32" s="2">
        <v>11000</v>
      </c>
      <c r="N32" s="2"/>
    </row>
    <row r="33" spans="2:14">
      <c r="B33" s="11">
        <v>45837</v>
      </c>
      <c r="C33" t="s">
        <v>39</v>
      </c>
      <c r="D33" t="str">
        <f>+VLOOKUP(C33,inventariof[],2,FALSE)</f>
        <v>BURBERRY HER</v>
      </c>
      <c r="E33">
        <v>30</v>
      </c>
      <c r="F33" s="10">
        <v>15000</v>
      </c>
      <c r="G33" s="2"/>
      <c r="I33" s="11">
        <v>45803</v>
      </c>
      <c r="J33" t="s">
        <v>69</v>
      </c>
      <c r="K33" t="str">
        <f>+VLOOKUP(ventasm[[#This Row],[Codigo]],inventariom[],2,FALSE)</f>
        <v>212 NYS</v>
      </c>
      <c r="L33">
        <v>14</v>
      </c>
      <c r="M33" s="2">
        <v>11000</v>
      </c>
      <c r="N33" s="2"/>
    </row>
    <row r="34" spans="2:14">
      <c r="B34" s="11">
        <v>45838</v>
      </c>
      <c r="C34" t="s">
        <v>39</v>
      </c>
      <c r="D34" t="str">
        <f>+VLOOKUP(C34,inventariof[],2,FALSE)</f>
        <v>BURBERRY HER</v>
      </c>
      <c r="E34">
        <v>14</v>
      </c>
      <c r="F34" s="10">
        <v>10000</v>
      </c>
      <c r="G34" s="2"/>
      <c r="I34" s="11">
        <v>45804</v>
      </c>
      <c r="J34" t="s">
        <v>69</v>
      </c>
      <c r="K34" t="str">
        <f>+VLOOKUP(ventasm[[#This Row],[Codigo]],inventariom[],2,FALSE)</f>
        <v>212 NYS</v>
      </c>
      <c r="L34">
        <v>14</v>
      </c>
      <c r="M34" s="2">
        <v>11000</v>
      </c>
      <c r="N34" s="2"/>
    </row>
    <row r="35" spans="2:14">
      <c r="B35" s="11">
        <v>45838</v>
      </c>
      <c r="C35" t="s">
        <v>81</v>
      </c>
      <c r="D35" t="str">
        <f>+VLOOKUP(C35,inventariof[],2,FALSE)</f>
        <v>AMBER ROUGE ORIENTICA</v>
      </c>
      <c r="E35">
        <v>30</v>
      </c>
      <c r="F35" s="10">
        <v>15000</v>
      </c>
      <c r="G35" s="2"/>
      <c r="I35" s="11">
        <v>45805</v>
      </c>
      <c r="J35" t="s">
        <v>50</v>
      </c>
      <c r="K35" t="str">
        <f>+VLOOKUP(ventasm[[#This Row],[Codigo]],inventariom[],2,FALSE)</f>
        <v>SAUVAGE ELIXIR</v>
      </c>
      <c r="L35">
        <v>30</v>
      </c>
      <c r="M35" s="2">
        <v>10000</v>
      </c>
      <c r="N35" s="2"/>
    </row>
    <row r="36" spans="2:14">
      <c r="B36" s="11">
        <v>45839</v>
      </c>
      <c r="C36" t="s">
        <v>38</v>
      </c>
      <c r="D36" t="str">
        <f>+VLOOKUP(C36,inventariof[],2,FALSE)</f>
        <v>FANTASY</v>
      </c>
      <c r="E36">
        <v>14</v>
      </c>
      <c r="F36" s="10">
        <v>10000</v>
      </c>
      <c r="G36" s="2"/>
      <c r="I36" s="11">
        <v>45837</v>
      </c>
      <c r="J36" t="s">
        <v>58</v>
      </c>
      <c r="K36" t="str">
        <f>+VLOOKUP(ventasm[[#This Row],[Codigo]],inventariom[],2,FALSE)</f>
        <v>LE MALE ELIXIR J.P</v>
      </c>
      <c r="L36">
        <v>14</v>
      </c>
      <c r="M36" s="2">
        <v>15000</v>
      </c>
      <c r="N36" s="2"/>
    </row>
    <row r="37" spans="2:14">
      <c r="B37" s="11">
        <v>45858</v>
      </c>
      <c r="C37" t="s">
        <v>46</v>
      </c>
      <c r="D37" t="str">
        <f>+VLOOKUP(C37,inventariof[],2,FALSE)</f>
        <v>ARIANA GRANDE CLOUD</v>
      </c>
      <c r="E37">
        <v>15</v>
      </c>
      <c r="F37" s="10">
        <v>10000</v>
      </c>
      <c r="G37" s="2"/>
      <c r="I37" s="11">
        <v>45839</v>
      </c>
      <c r="J37" t="s">
        <v>86</v>
      </c>
      <c r="K37" t="str">
        <f>+VLOOKUP(ventasm[[#This Row],[Codigo]],inventariom[],2,FALSE)</f>
        <v>LE BEAU</v>
      </c>
      <c r="L37">
        <v>14</v>
      </c>
      <c r="M37" s="2">
        <v>20000</v>
      </c>
      <c r="N37" s="2"/>
    </row>
    <row r="38" spans="2:14">
      <c r="B38" s="11">
        <v>45859</v>
      </c>
      <c r="C38" t="s">
        <v>42</v>
      </c>
      <c r="D38" t="str">
        <f>+VLOOKUP(C38,inventariof[],2,FALSE)</f>
        <v>SORBETTO ROSSO</v>
      </c>
      <c r="E38">
        <v>14</v>
      </c>
      <c r="F38" s="10">
        <v>11000</v>
      </c>
      <c r="G38" s="2"/>
      <c r="I38" s="11">
        <v>45840</v>
      </c>
      <c r="J38" t="s">
        <v>78</v>
      </c>
      <c r="K38" t="str">
        <f>+VLOOKUP(ventasm[[#This Row],[Codigo]],inventariom[],2,FALSE)</f>
        <v>INVICTUS VICTORY</v>
      </c>
      <c r="L38">
        <v>14</v>
      </c>
      <c r="M38" s="2">
        <v>15000</v>
      </c>
      <c r="N38" s="2"/>
    </row>
    <row r="39" spans="2:14">
      <c r="B39" s="11">
        <v>45860</v>
      </c>
      <c r="C39" t="s">
        <v>36</v>
      </c>
      <c r="D39" t="str">
        <f>+VLOOKUP(C39,inventariof[],2,FALSE)</f>
        <v>SOFIA VERGARA</v>
      </c>
      <c r="E39">
        <v>14</v>
      </c>
      <c r="F39" s="10">
        <v>11000</v>
      </c>
      <c r="G39" s="2"/>
      <c r="I39" s="11">
        <v>45856</v>
      </c>
      <c r="J39" t="s">
        <v>78</v>
      </c>
      <c r="K39" t="str">
        <f>+VLOOKUP(ventasm[[#This Row],[Codigo]],inventariom[],2,FALSE)</f>
        <v>INVICTUS VICTORY</v>
      </c>
      <c r="L39">
        <v>14</v>
      </c>
      <c r="M39" s="2">
        <v>11000</v>
      </c>
      <c r="N39" s="2"/>
    </row>
    <row r="40" spans="2:14">
      <c r="B40" s="11">
        <v>45866</v>
      </c>
      <c r="C40" t="s">
        <v>67</v>
      </c>
      <c r="D40" t="str">
        <f>+VLOOKUP(C40,inventariof[],2,FALSE)</f>
        <v>OLIMPEA</v>
      </c>
      <c r="E40">
        <v>14</v>
      </c>
      <c r="F40" s="10">
        <v>10000</v>
      </c>
      <c r="G40" s="2"/>
      <c r="I40" s="11">
        <v>45857</v>
      </c>
      <c r="J40" t="s">
        <v>86</v>
      </c>
      <c r="K40" t="str">
        <f>+VLOOKUP(ventasm[[#This Row],[Codigo]],inventariom[],2,FALSE)</f>
        <v>LE BEAU</v>
      </c>
      <c r="L40">
        <v>14</v>
      </c>
      <c r="M40" s="2">
        <v>20000</v>
      </c>
      <c r="N40" s="2"/>
    </row>
    <row r="41" spans="2:14">
      <c r="B41" s="11">
        <v>45875</v>
      </c>
      <c r="C41" t="s">
        <v>37</v>
      </c>
      <c r="D41" t="str">
        <f>+VLOOKUP(C41,inventariof[],2,FALSE)</f>
        <v>GOOD GIRL</v>
      </c>
      <c r="E41">
        <v>14</v>
      </c>
      <c r="F41" s="10">
        <v>10000</v>
      </c>
      <c r="G41" s="2"/>
      <c r="I41" s="11">
        <v>45865</v>
      </c>
      <c r="J41" t="s">
        <v>50</v>
      </c>
      <c r="K41" t="str">
        <f>+VLOOKUP(ventasm[[#This Row],[Codigo]],inventariom[],2,FALSE)</f>
        <v>SAUVAGE ELIXIR</v>
      </c>
      <c r="L41">
        <v>30</v>
      </c>
      <c r="M41" s="2">
        <v>12000</v>
      </c>
      <c r="N41" s="2"/>
    </row>
    <row r="42" spans="2:14">
      <c r="B42" s="11">
        <v>45879</v>
      </c>
      <c r="C42" t="s">
        <v>37</v>
      </c>
      <c r="D42" t="str">
        <f>+VLOOKUP(C42,inventariof[],2,FALSE)</f>
        <v>GOOD GIRL</v>
      </c>
      <c r="E42">
        <v>26</v>
      </c>
      <c r="F42" s="10">
        <v>15000</v>
      </c>
      <c r="G42" s="2"/>
      <c r="I42" s="11">
        <v>45866</v>
      </c>
      <c r="J42" t="s">
        <v>86</v>
      </c>
      <c r="K42" t="str">
        <f>+VLOOKUP(ventasm[[#This Row],[Codigo]],inventariom[],2,FALSE)</f>
        <v>LE BEAU</v>
      </c>
      <c r="L42">
        <v>14</v>
      </c>
      <c r="M42" s="2">
        <v>15000</v>
      </c>
      <c r="N42" s="2"/>
    </row>
    <row r="43" spans="2:14">
      <c r="B43" s="11">
        <v>45880</v>
      </c>
      <c r="C43" t="s">
        <v>60</v>
      </c>
      <c r="D43" t="str">
        <f>+VLOOKUP(C43,inventariof[],2,FALSE)</f>
        <v>TOY 2</v>
      </c>
      <c r="E43">
        <v>14</v>
      </c>
      <c r="F43" s="10">
        <v>10000</v>
      </c>
      <c r="G43" s="2"/>
      <c r="I43" s="11">
        <v>45871</v>
      </c>
      <c r="J43" t="s">
        <v>57</v>
      </c>
      <c r="K43" t="str">
        <f>+VLOOKUP(ventasm[[#This Row],[Codigo]],inventariom[],2,FALSE)</f>
        <v>ISSEY MIYAKE</v>
      </c>
      <c r="L43">
        <v>70</v>
      </c>
      <c r="M43" s="2">
        <v>60000</v>
      </c>
      <c r="N43" s="2"/>
    </row>
    <row r="44" spans="2:14">
      <c r="B44" s="11">
        <v>45881</v>
      </c>
      <c r="C44" t="s">
        <v>60</v>
      </c>
      <c r="D44" t="str">
        <f>+VLOOKUP(C44,inventariof[],2,FALSE)</f>
        <v>TOY 2</v>
      </c>
      <c r="E44">
        <v>20</v>
      </c>
      <c r="F44" s="10">
        <v>15000</v>
      </c>
      <c r="G44" s="2"/>
      <c r="I44" s="11">
        <v>45871</v>
      </c>
      <c r="J44" t="s">
        <v>57</v>
      </c>
      <c r="K44" t="str">
        <f>+VLOOKUP(ventasm[[#This Row],[Codigo]],inventariom[],2,FALSE)</f>
        <v>ISSEY MIYAKE</v>
      </c>
      <c r="L44">
        <v>14</v>
      </c>
      <c r="M44" s="2">
        <v>13000</v>
      </c>
      <c r="N44" s="2"/>
    </row>
    <row r="45" spans="2:14">
      <c r="B45" s="11">
        <v>45882</v>
      </c>
      <c r="C45" t="s">
        <v>39</v>
      </c>
      <c r="D45" t="str">
        <f>+VLOOKUP(C45,inventariof[],2,FALSE)</f>
        <v>BURBERRY HER</v>
      </c>
      <c r="E45">
        <v>15</v>
      </c>
      <c r="F45" s="10">
        <v>13000</v>
      </c>
      <c r="G45" s="2"/>
      <c r="I45" s="11">
        <v>45871</v>
      </c>
      <c r="J45" t="s">
        <v>86</v>
      </c>
      <c r="K45" t="str">
        <f>+VLOOKUP(ventasm[[#This Row],[Codigo]],inventariom[],2,FALSE)</f>
        <v>LE BEAU</v>
      </c>
      <c r="L45">
        <v>14</v>
      </c>
      <c r="M45" s="2">
        <v>13000</v>
      </c>
      <c r="N45" s="2"/>
    </row>
    <row r="46" spans="2:14">
      <c r="B46" s="11">
        <v>45883</v>
      </c>
      <c r="C46" t="s">
        <v>83</v>
      </c>
      <c r="D46" t="str">
        <f>+VLOOKUP(C46,inventariof[],2,FALSE)</f>
        <v>LA VIE EST BELLE</v>
      </c>
      <c r="E46">
        <v>14</v>
      </c>
      <c r="F46" s="10">
        <v>10000</v>
      </c>
      <c r="G46" s="2"/>
      <c r="I46" s="11">
        <v>45871</v>
      </c>
      <c r="J46" t="s">
        <v>79</v>
      </c>
      <c r="K46" t="str">
        <f>+VLOOKUP(ventasm[[#This Row],[Codigo]],inventariom[],2,FALSE)</f>
        <v>OMBRE NOMADE</v>
      </c>
      <c r="L46">
        <v>16</v>
      </c>
      <c r="M46" s="2">
        <v>13000</v>
      </c>
      <c r="N46" s="2"/>
    </row>
    <row r="47" spans="2:14">
      <c r="B47" s="11">
        <v>45886</v>
      </c>
      <c r="C47" t="s">
        <v>43</v>
      </c>
      <c r="D47" t="str">
        <f>+VLOOKUP(C47,inventariof[],2,FALSE)</f>
        <v>212 VIP ROSE</v>
      </c>
      <c r="E47">
        <v>16</v>
      </c>
      <c r="F47" s="10">
        <v>10000</v>
      </c>
      <c r="G47" s="2"/>
      <c r="I47" s="11">
        <v>45879</v>
      </c>
      <c r="J47" t="s">
        <v>58</v>
      </c>
      <c r="K47" t="str">
        <f>+VLOOKUP(ventasm[[#This Row],[Codigo]],inventariom[],2,FALSE)</f>
        <v>LE MALE ELIXIR J.P</v>
      </c>
      <c r="L47">
        <v>14</v>
      </c>
      <c r="M47" s="2">
        <v>20000</v>
      </c>
      <c r="N47" s="2"/>
    </row>
    <row r="48" spans="2:14">
      <c r="B48" s="11">
        <v>45893</v>
      </c>
      <c r="C48" t="s">
        <v>84</v>
      </c>
      <c r="D48" t="str">
        <f>+VLOOKUP(C48,inventariof[],2,FALSE)</f>
        <v>YUM YUM</v>
      </c>
      <c r="E48">
        <v>15</v>
      </c>
      <c r="F48" s="10">
        <v>10000</v>
      </c>
      <c r="G48" s="2"/>
      <c r="I48" s="11">
        <v>45882</v>
      </c>
      <c r="J48" t="s">
        <v>78</v>
      </c>
      <c r="K48" t="str">
        <f>+VLOOKUP(ventasm[[#This Row],[Codigo]],inventariom[],2,FALSE)</f>
        <v>INVICTUS VICTORY</v>
      </c>
      <c r="L48">
        <v>18</v>
      </c>
      <c r="M48" s="2">
        <v>15000</v>
      </c>
    </row>
    <row r="49" spans="2:14">
      <c r="B49" s="11">
        <v>45894</v>
      </c>
      <c r="C49" t="s">
        <v>81</v>
      </c>
      <c r="D49" t="str">
        <f>+VLOOKUP(C49,inventariof[],2,FALSE)</f>
        <v>AMBER ROUGE ORIENTICA</v>
      </c>
      <c r="E49">
        <v>30</v>
      </c>
      <c r="F49" s="10">
        <v>15000</v>
      </c>
      <c r="G49" s="2"/>
      <c r="I49" s="11">
        <v>45894</v>
      </c>
      <c r="J49" t="s">
        <v>80</v>
      </c>
      <c r="K49" t="str">
        <f>+VLOOKUP(ventasm[[#This Row],[Codigo]],inventariom[],2,FALSE)</f>
        <v xml:space="preserve">SAUVAGE </v>
      </c>
      <c r="L49">
        <v>25</v>
      </c>
      <c r="M49" s="2">
        <v>13000</v>
      </c>
    </row>
    <row r="50" spans="2:14">
      <c r="B50" s="11">
        <v>45895</v>
      </c>
      <c r="C50" t="s">
        <v>43</v>
      </c>
      <c r="D50" t="str">
        <f>+VLOOKUP(C50,inventariof[],2,FALSE)</f>
        <v>212 VIP ROSE</v>
      </c>
      <c r="E50">
        <v>25</v>
      </c>
      <c r="F50" s="10">
        <v>20000</v>
      </c>
      <c r="G50" s="2"/>
      <c r="I50" s="11">
        <v>45912</v>
      </c>
      <c r="J50" t="s">
        <v>78</v>
      </c>
      <c r="K50" t="str">
        <f>+VLOOKUP(ventasm[[#This Row],[Codigo]],inventariom[],2,FALSE)</f>
        <v>INVICTUS VICTORY</v>
      </c>
      <c r="L50">
        <v>25</v>
      </c>
      <c r="M50" s="2">
        <v>20000</v>
      </c>
    </row>
    <row r="51" spans="2:14">
      <c r="B51" s="11">
        <v>45896</v>
      </c>
      <c r="C51" t="s">
        <v>41</v>
      </c>
      <c r="D51" t="str">
        <f>+VLOOKUP(C51,inventariof[],2,FALSE)</f>
        <v>YARA CANDY</v>
      </c>
      <c r="E51">
        <v>14</v>
      </c>
      <c r="F51" s="10">
        <v>10000</v>
      </c>
      <c r="G51" s="2"/>
      <c r="I51" s="11">
        <v>45913</v>
      </c>
      <c r="J51" t="s">
        <v>58</v>
      </c>
      <c r="K51" t="str">
        <f>+VLOOKUP(ventasm[[#This Row],[Codigo]],inventariom[],2,FALSE)</f>
        <v>LE MALE ELIXIR J.P</v>
      </c>
      <c r="L51">
        <v>14</v>
      </c>
      <c r="M51" s="2">
        <v>12000</v>
      </c>
    </row>
    <row r="52" spans="2:14">
      <c r="B52" s="11">
        <v>45910</v>
      </c>
      <c r="C52" t="s">
        <v>43</v>
      </c>
      <c r="D52" t="str">
        <f>+VLOOKUP(C52,inventariof[],2,FALSE)</f>
        <v>212 VIP ROSE</v>
      </c>
      <c r="E52">
        <v>14</v>
      </c>
      <c r="F52" s="10">
        <v>10000</v>
      </c>
      <c r="G52" s="2"/>
      <c r="I52" s="11">
        <v>45914</v>
      </c>
      <c r="J52" t="s">
        <v>69</v>
      </c>
      <c r="K52" t="str">
        <f>+VLOOKUP(ventasm[[#This Row],[Codigo]],inventariom[],2,FALSE)</f>
        <v>212 NYS</v>
      </c>
      <c r="L52">
        <v>14</v>
      </c>
      <c r="M52" s="2">
        <v>14000</v>
      </c>
    </row>
    <row r="53" spans="2:14">
      <c r="B53" s="11">
        <v>45911</v>
      </c>
      <c r="C53" t="s">
        <v>46</v>
      </c>
      <c r="D53" t="str">
        <f>+VLOOKUP(C53,inventariof[],2,FALSE)</f>
        <v>ARIANA GRANDE CLOUD</v>
      </c>
      <c r="E53">
        <v>14</v>
      </c>
      <c r="F53" s="10">
        <v>10000</v>
      </c>
      <c r="G53" s="2"/>
      <c r="I53" s="11">
        <v>45915</v>
      </c>
      <c r="J53" t="s">
        <v>104</v>
      </c>
      <c r="K53" t="str">
        <f>+VLOOKUP(ventasm[[#This Row],[Codigo]],inventariom[],2,FALSE)</f>
        <v>AQUA DI GIO</v>
      </c>
      <c r="L53">
        <v>14</v>
      </c>
      <c r="M53" s="2">
        <v>15000</v>
      </c>
      <c r="N53" s="2"/>
    </row>
    <row r="54" spans="2:14">
      <c r="B54" s="11">
        <v>45912</v>
      </c>
      <c r="C54" t="s">
        <v>42</v>
      </c>
      <c r="D54" t="str">
        <f>+VLOOKUP(C54,inventariof[],2,FALSE)</f>
        <v>SORBETTO ROSSO</v>
      </c>
      <c r="E54">
        <v>14</v>
      </c>
      <c r="F54" s="10">
        <v>11000</v>
      </c>
      <c r="G54" s="2"/>
      <c r="I54" s="11">
        <v>45923</v>
      </c>
      <c r="J54" t="s">
        <v>104</v>
      </c>
      <c r="K54" t="str">
        <f>+VLOOKUP(ventasm[[#This Row],[Codigo]],inventariom[],2,FALSE)</f>
        <v>AQUA DI GIO</v>
      </c>
      <c r="L54">
        <v>14</v>
      </c>
      <c r="M54" s="2">
        <v>15000</v>
      </c>
    </row>
    <row r="55" spans="2:14">
      <c r="B55" s="11">
        <v>45922</v>
      </c>
      <c r="C55" t="s">
        <v>42</v>
      </c>
      <c r="D55" t="str">
        <f>+VLOOKUP(C55,inventariof[],2,FALSE)</f>
        <v>SORBETTO ROSSO</v>
      </c>
      <c r="E55">
        <v>14</v>
      </c>
      <c r="F55" s="10">
        <v>14000</v>
      </c>
      <c r="G55" s="2"/>
      <c r="I55" s="11">
        <v>45924</v>
      </c>
      <c r="J55" t="s">
        <v>80</v>
      </c>
      <c r="K55" t="str">
        <f>+VLOOKUP(ventasm[[#This Row],[Codigo]],inventariom[],2,FALSE)</f>
        <v xml:space="preserve">SAUVAGE </v>
      </c>
      <c r="L55">
        <v>14</v>
      </c>
      <c r="M55" s="2">
        <v>15000</v>
      </c>
    </row>
    <row r="56" spans="2:14">
      <c r="B56" s="11">
        <v>45923</v>
      </c>
      <c r="C56" t="s">
        <v>83</v>
      </c>
      <c r="D56" t="str">
        <f>+VLOOKUP(C56,inventariof[],2,FALSE)</f>
        <v>LA VIE EST BELLE</v>
      </c>
      <c r="E56">
        <v>14</v>
      </c>
      <c r="F56" s="10">
        <v>14000</v>
      </c>
      <c r="G56" s="2"/>
      <c r="I56" s="11">
        <v>45924</v>
      </c>
      <c r="J56" t="s">
        <v>79</v>
      </c>
      <c r="K56" t="str">
        <f>+VLOOKUP(ventasm[[#This Row],[Codigo]],inventariom[],2,FALSE)</f>
        <v>OMBRE NOMADE</v>
      </c>
      <c r="L56">
        <v>25</v>
      </c>
      <c r="M56" s="2">
        <v>20000</v>
      </c>
    </row>
    <row r="57" spans="2:14">
      <c r="B57" s="11">
        <v>45924</v>
      </c>
      <c r="C57" t="s">
        <v>37</v>
      </c>
      <c r="D57" t="str">
        <f>+VLOOKUP(C57,inventariof[],2,FALSE)</f>
        <v>GOOD GIRL</v>
      </c>
      <c r="E57">
        <v>20</v>
      </c>
      <c r="F57" s="10">
        <v>20000</v>
      </c>
      <c r="G57" s="2"/>
      <c r="I57" s="11">
        <v>45925</v>
      </c>
      <c r="J57" t="s">
        <v>104</v>
      </c>
      <c r="K57" t="str">
        <f>+VLOOKUP(ventasm[[#This Row],[Codigo]],inventariom[],2,FALSE)</f>
        <v>AQUA DI GIO</v>
      </c>
      <c r="L57">
        <v>14</v>
      </c>
      <c r="M57" s="2">
        <v>15000</v>
      </c>
    </row>
    <row r="58" spans="2:14">
      <c r="B58" s="11">
        <v>45927</v>
      </c>
      <c r="C58" t="s">
        <v>46</v>
      </c>
      <c r="D58" t="str">
        <f>+VLOOKUP(C58,inventariof[],2,FALSE)</f>
        <v>ARIANA GRANDE CLOUD</v>
      </c>
      <c r="E58">
        <v>14</v>
      </c>
      <c r="F58" s="10">
        <v>15000</v>
      </c>
      <c r="G58" s="2"/>
      <c r="I58" s="11">
        <v>45926</v>
      </c>
      <c r="J58" t="s">
        <v>80</v>
      </c>
      <c r="K58" t="str">
        <f>+VLOOKUP(ventasm[[#This Row],[Codigo]],inventariom[],2,FALSE)</f>
        <v xml:space="preserve">SAUVAGE </v>
      </c>
      <c r="L58">
        <v>25</v>
      </c>
      <c r="M58" s="2">
        <v>20000</v>
      </c>
      <c r="N58" s="2"/>
    </row>
    <row r="59" spans="2:14">
      <c r="B59" s="11">
        <v>45928</v>
      </c>
      <c r="C59" t="s">
        <v>83</v>
      </c>
      <c r="D59" t="str">
        <f>+VLOOKUP(C59,inventariof[],2,FALSE)</f>
        <v>LA VIE EST BELLE</v>
      </c>
      <c r="E59">
        <v>14</v>
      </c>
      <c r="F59" s="10">
        <v>10000</v>
      </c>
      <c r="G59" s="2"/>
      <c r="I59" s="11">
        <v>45927</v>
      </c>
      <c r="J59" t="s">
        <v>95</v>
      </c>
      <c r="K59" t="str">
        <f>+VLOOKUP(ventasm[[#This Row],[Codigo]],inventariom[],2,FALSE)</f>
        <v>SOLO YAMBAL</v>
      </c>
      <c r="L59">
        <v>14</v>
      </c>
      <c r="M59" s="2">
        <v>10000</v>
      </c>
      <c r="N59" s="2"/>
    </row>
    <row r="60" spans="2:14">
      <c r="B60" s="11">
        <v>45928</v>
      </c>
      <c r="C60" t="s">
        <v>40</v>
      </c>
      <c r="D60" t="str">
        <f>+VLOOKUP(C60,inventariof[],2,FALSE)</f>
        <v>YARA</v>
      </c>
      <c r="E60">
        <v>14</v>
      </c>
      <c r="F60" s="10">
        <v>15000</v>
      </c>
      <c r="G60" s="2"/>
      <c r="I60" s="11">
        <v>45927</v>
      </c>
      <c r="J60" t="s">
        <v>80</v>
      </c>
      <c r="K60" t="str">
        <f>+VLOOKUP(ventasm[[#This Row],[Codigo]],inventariom[],2,FALSE)</f>
        <v xml:space="preserve">SAUVAGE </v>
      </c>
      <c r="L60">
        <v>25</v>
      </c>
      <c r="M60" s="2">
        <v>15000</v>
      </c>
      <c r="N60" s="2"/>
    </row>
    <row r="61" spans="2:14">
      <c r="B61" s="11">
        <v>45928</v>
      </c>
      <c r="C61" t="s">
        <v>41</v>
      </c>
      <c r="D61" t="str">
        <f>+VLOOKUP(C61,inventariof[],2,FALSE)</f>
        <v>YARA CANDY</v>
      </c>
      <c r="E61">
        <v>14</v>
      </c>
      <c r="F61" s="10">
        <v>10000</v>
      </c>
      <c r="G61" s="17"/>
      <c r="H61" s="2"/>
      <c r="I61" s="11">
        <v>45927</v>
      </c>
      <c r="J61" t="s">
        <v>57</v>
      </c>
      <c r="K61" t="str">
        <f>+VLOOKUP(ventasm[[#This Row],[Codigo]],inventariom[],2,FALSE)</f>
        <v>ISSEY MIYAKE</v>
      </c>
      <c r="L61">
        <v>25</v>
      </c>
      <c r="M61" s="17">
        <v>20000</v>
      </c>
      <c r="N61" s="17"/>
    </row>
    <row r="62" spans="2:14">
      <c r="B62" s="11">
        <v>45933</v>
      </c>
      <c r="C62" t="s">
        <v>45</v>
      </c>
      <c r="D62" t="str">
        <f>+VLOOKUP(C62,inventariof[],2,FALSE)</f>
        <v>LIGHT BLUE</v>
      </c>
      <c r="E62">
        <v>14</v>
      </c>
      <c r="F62" s="10">
        <v>15000</v>
      </c>
      <c r="G62" s="2"/>
      <c r="I62" s="11">
        <v>45927</v>
      </c>
      <c r="J62" t="s">
        <v>78</v>
      </c>
      <c r="K62" t="str">
        <f>+VLOOKUP(ventasm[[#This Row],[Codigo]],inventariom[],2,FALSE)</f>
        <v>INVICTUS VICTORY</v>
      </c>
      <c r="L62">
        <v>25</v>
      </c>
      <c r="M62" s="2">
        <v>20000</v>
      </c>
      <c r="N62" s="2"/>
    </row>
    <row r="63" spans="2:14">
      <c r="B63" s="11">
        <v>45933</v>
      </c>
      <c r="C63" t="s">
        <v>37</v>
      </c>
      <c r="D63" t="str">
        <f>+VLOOKUP(C63,inventariof[],2,FALSE)</f>
        <v>GOOD GIRL</v>
      </c>
      <c r="E63">
        <v>14</v>
      </c>
      <c r="F63" s="10">
        <v>15000</v>
      </c>
      <c r="G63" s="2"/>
      <c r="I63" s="11">
        <v>45931</v>
      </c>
      <c r="J63" t="s">
        <v>58</v>
      </c>
      <c r="K63" t="str">
        <f>+VLOOKUP(ventasm[[#This Row],[Codigo]],inventariom[],2,FALSE)</f>
        <v>LE MALE ELIXIR J.P</v>
      </c>
      <c r="L63">
        <v>14</v>
      </c>
      <c r="M63" s="2">
        <v>15000</v>
      </c>
      <c r="N63" s="2"/>
    </row>
    <row r="64" spans="2:14">
      <c r="B64" s="11">
        <v>45935</v>
      </c>
      <c r="C64" t="s">
        <v>60</v>
      </c>
      <c r="D64" t="str">
        <f>+VLOOKUP(C64,inventariof[],2,FALSE)</f>
        <v>TOY 2</v>
      </c>
      <c r="E64">
        <v>14</v>
      </c>
      <c r="F64" s="10">
        <v>15000</v>
      </c>
      <c r="G64" s="2"/>
      <c r="I64" s="11">
        <v>45932</v>
      </c>
      <c r="J64" t="s">
        <v>104</v>
      </c>
      <c r="K64" t="str">
        <f>+VLOOKUP(ventasm[[#This Row],[Codigo]],inventariom[],2,FALSE)</f>
        <v>AQUA DI GIO</v>
      </c>
      <c r="L64">
        <v>14</v>
      </c>
      <c r="M64" s="2">
        <v>15000</v>
      </c>
      <c r="N64" s="2"/>
    </row>
    <row r="65" spans="2:14">
      <c r="B65" s="11">
        <v>45937</v>
      </c>
      <c r="C65" t="s">
        <v>43</v>
      </c>
      <c r="D65" t="str">
        <f>+VLOOKUP(C65,inventariof[],2,FALSE)</f>
        <v>212 VIP ROSE</v>
      </c>
      <c r="E65">
        <v>14</v>
      </c>
      <c r="F65" s="10">
        <v>15000</v>
      </c>
      <c r="G65" s="2"/>
      <c r="I65" s="11">
        <v>45932</v>
      </c>
      <c r="J65" t="s">
        <v>80</v>
      </c>
      <c r="K65" t="str">
        <f>+VLOOKUP(ventasm[[#This Row],[Codigo]],inventariom[],2,FALSE)</f>
        <v xml:space="preserve">SAUVAGE </v>
      </c>
      <c r="L65">
        <v>14</v>
      </c>
      <c r="M65" s="2">
        <v>15000</v>
      </c>
      <c r="N65" s="2"/>
    </row>
    <row r="66" spans="2:14">
      <c r="B66" s="11">
        <v>45943</v>
      </c>
      <c r="C66" t="s">
        <v>60</v>
      </c>
      <c r="D66" t="str">
        <f>+VLOOKUP(C66,inventariof[],2,FALSE)</f>
        <v>TOY 2</v>
      </c>
      <c r="E66">
        <v>14</v>
      </c>
      <c r="F66" s="10">
        <v>15000</v>
      </c>
      <c r="G66" s="2"/>
      <c r="I66" s="11">
        <v>45938</v>
      </c>
      <c r="J66" t="s">
        <v>57</v>
      </c>
      <c r="K66" t="str">
        <f>+VLOOKUP(ventasm[[#This Row],[Codigo]],inventariom[],2,FALSE)</f>
        <v>ISSEY MIYAKE</v>
      </c>
      <c r="L66">
        <v>14</v>
      </c>
      <c r="M66" s="2">
        <v>15000</v>
      </c>
      <c r="N66" s="2"/>
    </row>
    <row r="67" spans="2:14">
      <c r="B67" s="11">
        <v>45944</v>
      </c>
      <c r="C67" t="s">
        <v>67</v>
      </c>
      <c r="D67" t="str">
        <f>+VLOOKUP(C67,inventariof[],2,FALSE)</f>
        <v>OLIMPEA</v>
      </c>
      <c r="E67">
        <v>14</v>
      </c>
      <c r="F67" s="10">
        <v>10000</v>
      </c>
      <c r="G67" s="2"/>
      <c r="I67" s="11">
        <v>45940</v>
      </c>
      <c r="J67" t="s">
        <v>56</v>
      </c>
      <c r="K67" t="str">
        <f>+VLOOKUP(ventasm[[#This Row],[Codigo]],inventariom[],2,FALSE)</f>
        <v>ONE MILLION ELIXIR</v>
      </c>
      <c r="L67">
        <v>14</v>
      </c>
      <c r="M67" s="2">
        <v>12000</v>
      </c>
      <c r="N67" s="2"/>
    </row>
    <row r="68" spans="2:14">
      <c r="B68" s="11">
        <v>45945</v>
      </c>
      <c r="C68" t="s">
        <v>39</v>
      </c>
      <c r="D68" t="str">
        <f>+VLOOKUP(C68,inventariof[],2,FALSE)</f>
        <v>BURBERRY HER</v>
      </c>
      <c r="E68">
        <v>14</v>
      </c>
      <c r="F68" s="10">
        <v>15000</v>
      </c>
      <c r="G68" s="2"/>
      <c r="I68" s="11">
        <v>45945</v>
      </c>
      <c r="J68" t="s">
        <v>98</v>
      </c>
      <c r="K68" t="str">
        <f>+VLOOKUP(ventasm[[#This Row],[Codigo]],inventariom[],2,FALSE)</f>
        <v>FACONNABLE</v>
      </c>
      <c r="L68">
        <v>25</v>
      </c>
      <c r="M68" s="2">
        <v>15000</v>
      </c>
      <c r="N68" s="2"/>
    </row>
    <row r="69" spans="2:14">
      <c r="B69" s="11">
        <v>45946</v>
      </c>
      <c r="C69" t="s">
        <v>83</v>
      </c>
      <c r="D69" t="str">
        <f>+VLOOKUP(C69,inventariof[],2,FALSE)</f>
        <v>LA VIE EST BELLE</v>
      </c>
      <c r="E69">
        <v>14</v>
      </c>
      <c r="F69" s="10">
        <v>15000</v>
      </c>
      <c r="G69" s="2"/>
      <c r="I69" s="11">
        <v>45950</v>
      </c>
      <c r="J69" t="s">
        <v>98</v>
      </c>
      <c r="K69" t="str">
        <f>+VLOOKUP(ventasm[[#This Row],[Codigo]],inventariom[],2,FALSE)</f>
        <v>FACONNABLE</v>
      </c>
      <c r="L69">
        <v>26</v>
      </c>
      <c r="M69" s="2">
        <v>15000</v>
      </c>
      <c r="N69" s="2"/>
    </row>
    <row r="70" spans="2:14">
      <c r="B70" s="11">
        <v>45955</v>
      </c>
      <c r="C70" t="s">
        <v>84</v>
      </c>
      <c r="D70" t="str">
        <f>+VLOOKUP(C70,inventariof[],2,FALSE)</f>
        <v>YUM YUM</v>
      </c>
      <c r="E70">
        <v>25</v>
      </c>
      <c r="F70" s="10">
        <v>20000</v>
      </c>
      <c r="G70" s="2"/>
      <c r="I70" s="11">
        <v>45951</v>
      </c>
      <c r="J70" t="s">
        <v>98</v>
      </c>
      <c r="K70" t="str">
        <f>+VLOOKUP(ventasm[[#This Row],[Codigo]],inventariom[],2,FALSE)</f>
        <v>FACONNABLE</v>
      </c>
      <c r="L70">
        <v>14</v>
      </c>
      <c r="M70" s="2">
        <v>15000</v>
      </c>
      <c r="N70" s="2"/>
    </row>
    <row r="71" spans="2:14">
      <c r="B71" s="11">
        <v>45956</v>
      </c>
      <c r="C71" t="s">
        <v>46</v>
      </c>
      <c r="D71" t="str">
        <f>+VLOOKUP(C71,inventariof[],2,FALSE)</f>
        <v>ARIANA GRANDE CLOUD</v>
      </c>
      <c r="E71">
        <v>25</v>
      </c>
      <c r="F71" s="10">
        <v>20000</v>
      </c>
      <c r="G71" s="2"/>
      <c r="I71" s="11">
        <v>45957</v>
      </c>
      <c r="J71" t="s">
        <v>98</v>
      </c>
      <c r="K71" t="str">
        <f>+VLOOKUP(ventasm[[#This Row],[Codigo]],inventariom[],2,FALSE)</f>
        <v>FACONNABLE</v>
      </c>
      <c r="L71">
        <v>25</v>
      </c>
      <c r="M71" s="2">
        <v>10000</v>
      </c>
      <c r="N71" s="2"/>
    </row>
    <row r="72" spans="2:14">
      <c r="B72" s="11">
        <v>45957</v>
      </c>
      <c r="C72" t="s">
        <v>39</v>
      </c>
      <c r="D72" t="str">
        <f>+VLOOKUP(C72,inventariof[],2,FALSE)</f>
        <v>BURBERRY HER</v>
      </c>
      <c r="E72">
        <v>25</v>
      </c>
      <c r="F72" s="10">
        <v>20000</v>
      </c>
      <c r="G72" s="2"/>
      <c r="I72" s="11">
        <v>45958</v>
      </c>
      <c r="J72" t="s">
        <v>80</v>
      </c>
      <c r="K72" t="str">
        <f>+VLOOKUP(ventasm[[#This Row],[Codigo]],inventariom[],2,FALSE)</f>
        <v xml:space="preserve">SAUVAGE </v>
      </c>
      <c r="L72">
        <v>30</v>
      </c>
      <c r="M72" s="2">
        <v>20000</v>
      </c>
      <c r="N72" s="2"/>
    </row>
    <row r="73" spans="2:14">
      <c r="B73" s="11">
        <v>45958</v>
      </c>
      <c r="C73" t="s">
        <v>46</v>
      </c>
      <c r="D73" t="str">
        <f>+VLOOKUP(C73,inventariof[],2,FALSE)</f>
        <v>ARIANA GRANDE CLOUD</v>
      </c>
      <c r="E73">
        <v>15</v>
      </c>
      <c r="F73" s="10">
        <v>15000</v>
      </c>
      <c r="G73" s="2"/>
      <c r="I73" s="11">
        <v>45959</v>
      </c>
      <c r="J73" t="s">
        <v>56</v>
      </c>
      <c r="K73" t="str">
        <f>+VLOOKUP(ventasm[[#This Row],[Codigo]],inventariom[],2,FALSE)</f>
        <v>ONE MILLION ELIXIR</v>
      </c>
      <c r="L73">
        <v>30</v>
      </c>
      <c r="M73" s="2">
        <v>20000</v>
      </c>
      <c r="N73" s="2"/>
    </row>
    <row r="74" spans="2:14">
      <c r="B74" s="11">
        <v>45959</v>
      </c>
      <c r="C74" t="s">
        <v>83</v>
      </c>
      <c r="D74" t="str">
        <f>+VLOOKUP(C74,inventariof[],2,FALSE)</f>
        <v>LA VIE EST BELLE</v>
      </c>
      <c r="E74">
        <v>15</v>
      </c>
      <c r="F74" s="10">
        <v>15000</v>
      </c>
      <c r="G74" s="2"/>
      <c r="I74" s="11">
        <v>45960</v>
      </c>
      <c r="J74" t="s">
        <v>78</v>
      </c>
      <c r="K74" t="str">
        <f>+VLOOKUP(ventasm[[#This Row],[Codigo]],inventariom[],2,FALSE)</f>
        <v>INVICTUS VICTORY</v>
      </c>
      <c r="L74">
        <v>15</v>
      </c>
      <c r="M74">
        <v>15000</v>
      </c>
      <c r="N74" s="2"/>
    </row>
    <row r="75" spans="2:14">
      <c r="B75" s="11">
        <v>45965</v>
      </c>
      <c r="C75" t="s">
        <v>81</v>
      </c>
      <c r="D75" t="str">
        <f>+VLOOKUP(C75,inventariof[],2,FALSE)</f>
        <v>AMBER ROUGE ORIENTICA</v>
      </c>
      <c r="E75">
        <v>30</v>
      </c>
      <c r="F75" s="10">
        <v>20000</v>
      </c>
      <c r="G75" s="2"/>
      <c r="I75" s="11">
        <v>45965</v>
      </c>
      <c r="J75" t="s">
        <v>57</v>
      </c>
      <c r="K75" t="str">
        <f>+VLOOKUP(ventasm[[#This Row],[Codigo]],inventariom[],2,FALSE)</f>
        <v>ISSEY MIYAKE</v>
      </c>
      <c r="L75">
        <v>70</v>
      </c>
      <c r="M75" s="2">
        <v>100000</v>
      </c>
      <c r="N75" s="2"/>
    </row>
    <row r="76" spans="2:14">
      <c r="B76" s="11">
        <v>45975</v>
      </c>
      <c r="C76" t="s">
        <v>107</v>
      </c>
      <c r="D76" t="str">
        <f>+VLOOKUP(C76,inventariof[],2,FALSE)</f>
        <v>YARA MOI</v>
      </c>
      <c r="E76">
        <v>60</v>
      </c>
      <c r="F76" s="10">
        <v>100000</v>
      </c>
      <c r="G76" s="2"/>
      <c r="I76" s="11">
        <v>45975</v>
      </c>
      <c r="J76" t="s">
        <v>98</v>
      </c>
      <c r="K76" t="str">
        <f>+VLOOKUP(ventasm[[#This Row],[Codigo]],inventariom[],2,FALSE)</f>
        <v>FACONNABLE</v>
      </c>
      <c r="L76">
        <v>14</v>
      </c>
      <c r="M76" s="2">
        <v>10000</v>
      </c>
      <c r="N76" s="2"/>
    </row>
    <row r="77" spans="2:14">
      <c r="B77" s="11">
        <v>45980</v>
      </c>
      <c r="C77" t="s">
        <v>60</v>
      </c>
      <c r="D77" t="str">
        <f>+VLOOKUP(C77,inventariof[],2,FALSE)</f>
        <v>TOY 2</v>
      </c>
      <c r="E77">
        <v>15</v>
      </c>
      <c r="F77" s="10">
        <v>10000</v>
      </c>
      <c r="G77" s="2"/>
      <c r="I77" s="11">
        <v>45975</v>
      </c>
      <c r="J77" t="s">
        <v>58</v>
      </c>
      <c r="K77" t="str">
        <f>+VLOOKUP(ventasm[[#This Row],[Codigo]],inventariom[],2,FALSE)</f>
        <v>LE MALE ELIXIR J.P</v>
      </c>
      <c r="L77">
        <v>14</v>
      </c>
      <c r="M77" s="2">
        <v>15000</v>
      </c>
      <c r="N77" s="2"/>
    </row>
    <row r="78" spans="2:14">
      <c r="B78" s="11">
        <v>45980</v>
      </c>
      <c r="C78" t="s">
        <v>37</v>
      </c>
      <c r="D78" t="str">
        <f>+VLOOKUP(C78,inventariof[],2,FALSE)</f>
        <v>GOOD GIRL</v>
      </c>
      <c r="E78">
        <v>15</v>
      </c>
      <c r="F78" s="10">
        <v>10000</v>
      </c>
      <c r="G78" s="2"/>
      <c r="I78" s="11">
        <v>45977</v>
      </c>
      <c r="J78" t="s">
        <v>109</v>
      </c>
      <c r="K78" t="str">
        <f>+VLOOKUP(ventasm[[#This Row],[Codigo]],inventariom[],2,FALSE)</f>
        <v>ASAD LATTAFA</v>
      </c>
      <c r="L78">
        <v>26</v>
      </c>
      <c r="M78" s="2">
        <v>15000</v>
      </c>
      <c r="N78" s="2"/>
    </row>
    <row r="79" spans="2:14">
      <c r="B79" s="11">
        <v>45982</v>
      </c>
      <c r="C79" t="s">
        <v>60</v>
      </c>
      <c r="D79" t="str">
        <f>+VLOOKUP(C79,inventariof[],2,FALSE)</f>
        <v>TOY 2</v>
      </c>
      <c r="E79">
        <v>15</v>
      </c>
      <c r="F79" s="10">
        <v>15000</v>
      </c>
      <c r="G79" s="2"/>
      <c r="I79" s="11">
        <v>45989</v>
      </c>
      <c r="J79" t="s">
        <v>78</v>
      </c>
      <c r="K79" t="str">
        <f>+VLOOKUP(ventasm[[#This Row],[Codigo]],inventariom[],2,FALSE)</f>
        <v>INVICTUS VICTORY</v>
      </c>
      <c r="L79">
        <v>26</v>
      </c>
      <c r="M79" s="2">
        <v>15000</v>
      </c>
    </row>
    <row r="80" spans="2:14">
      <c r="B80" s="11">
        <v>45999</v>
      </c>
      <c r="C80" t="s">
        <v>81</v>
      </c>
      <c r="D80" s="25" t="str">
        <f>+VLOOKUP(C80,inventariof[],2,FALSE)</f>
        <v>AMBER ROUGE ORIENTICA</v>
      </c>
      <c r="E80">
        <v>50</v>
      </c>
      <c r="F80" s="10" t="s">
        <v>133</v>
      </c>
      <c r="G80" s="2">
        <v>14000</v>
      </c>
      <c r="I80" s="11">
        <v>45990</v>
      </c>
      <c r="J80" t="s">
        <v>128</v>
      </c>
      <c r="K80" t="str">
        <f>+VLOOKUP(ventasm[[#This Row],[Codigo]],inventariom[],2,FALSE)</f>
        <v>KHAMRAH</v>
      </c>
      <c r="L80">
        <v>120</v>
      </c>
      <c r="M80" s="2">
        <v>31200</v>
      </c>
    </row>
    <row r="81" spans="2:14">
      <c r="B81" s="11">
        <v>46006</v>
      </c>
      <c r="C81" t="s">
        <v>60</v>
      </c>
      <c r="D81" t="str">
        <f>+VLOOKUP(C81,inventariof[],2,FALSE)</f>
        <v>TOY 2</v>
      </c>
      <c r="E81">
        <v>14</v>
      </c>
      <c r="F81" s="10">
        <v>15000</v>
      </c>
      <c r="G81" s="2"/>
      <c r="I81" s="11">
        <v>45996</v>
      </c>
      <c r="J81" t="s">
        <v>95</v>
      </c>
      <c r="K81" t="str">
        <f>+VLOOKUP(ventasm[[#This Row],[Codigo]],inventariom[],2,FALSE)</f>
        <v>SOLO YAMBAL</v>
      </c>
      <c r="L81">
        <v>15</v>
      </c>
      <c r="M81" s="2">
        <v>12000</v>
      </c>
    </row>
    <row r="82" spans="2:14">
      <c r="B82" s="11">
        <v>46006</v>
      </c>
      <c r="C82" t="s">
        <v>46</v>
      </c>
      <c r="D82" t="str">
        <f>+VLOOKUP(C82,inventariof[],2,FALSE)</f>
        <v>ARIANA GRANDE CLOUD</v>
      </c>
      <c r="E82">
        <v>22</v>
      </c>
      <c r="F82" s="10">
        <v>20000</v>
      </c>
      <c r="G82" s="2"/>
      <c r="I82" s="11">
        <v>45999</v>
      </c>
      <c r="J82" t="s">
        <v>132</v>
      </c>
      <c r="K82" t="str">
        <f>+VLOOKUP(ventasm[[#This Row],[Codigo]],inventariom[],2,FALSE)</f>
        <v>OUD FOR GLORY</v>
      </c>
      <c r="L82">
        <v>110</v>
      </c>
      <c r="M82" s="2">
        <v>33000</v>
      </c>
    </row>
    <row r="83" spans="2:14">
      <c r="B83" s="11">
        <v>46010</v>
      </c>
      <c r="C83" t="s">
        <v>37</v>
      </c>
      <c r="D83" t="str">
        <f>+VLOOKUP(C83,inventariof[],2,FALSE)</f>
        <v>GOOD GIRL</v>
      </c>
      <c r="E83">
        <v>14</v>
      </c>
      <c r="F83" s="10">
        <v>10000</v>
      </c>
      <c r="G83" s="2"/>
      <c r="I83" s="11">
        <v>46000</v>
      </c>
      <c r="J83" t="s">
        <v>56</v>
      </c>
      <c r="K83" s="25" t="str">
        <f>+VLOOKUP(ventasm[[#This Row],[Codigo]],inventariom[],2,FALSE)</f>
        <v>ONE MILLION ELIXIR</v>
      </c>
      <c r="L83">
        <v>55</v>
      </c>
      <c r="M83" s="2" t="s">
        <v>149</v>
      </c>
      <c r="N83">
        <v>18000</v>
      </c>
    </row>
    <row r="84" spans="2:14">
      <c r="B84" s="11">
        <v>46012</v>
      </c>
      <c r="C84" t="s">
        <v>142</v>
      </c>
      <c r="D84" s="25" t="str">
        <f>+VLOOKUP(C84,inventariof[],2,FALSE)</f>
        <v>PURE XS</v>
      </c>
      <c r="E84">
        <v>60</v>
      </c>
      <c r="F84" s="10" t="s">
        <v>164</v>
      </c>
      <c r="G84" s="2">
        <v>15000</v>
      </c>
      <c r="I84" s="11">
        <v>46000</v>
      </c>
      <c r="J84" t="s">
        <v>77</v>
      </c>
      <c r="K84" t="str">
        <f>+VLOOKUP(ventasm[[#This Row],[Codigo]],inventariom[],2,FALSE)</f>
        <v>CREED AVENTUS</v>
      </c>
      <c r="L84">
        <v>30</v>
      </c>
      <c r="M84" s="2">
        <v>20000</v>
      </c>
    </row>
    <row r="85" spans="2:14">
      <c r="B85" s="11">
        <v>46023</v>
      </c>
      <c r="C85" t="s">
        <v>67</v>
      </c>
      <c r="D85" t="str">
        <f>+VLOOKUP(C85,inventariof[],2,FALSE)</f>
        <v>OLIMPEA</v>
      </c>
      <c r="E85">
        <v>25</v>
      </c>
      <c r="F85" s="10">
        <v>15000</v>
      </c>
      <c r="G85" s="2"/>
      <c r="I85" s="11">
        <v>46001</v>
      </c>
      <c r="J85" t="s">
        <v>58</v>
      </c>
      <c r="K85" t="str">
        <f>+VLOOKUP(ventasm[[#This Row],[Codigo]],inventariom[],2,FALSE)</f>
        <v>LE MALE ELIXIR J.P</v>
      </c>
      <c r="L85">
        <v>26</v>
      </c>
      <c r="M85" s="2">
        <v>20000</v>
      </c>
    </row>
    <row r="86" spans="2:14">
      <c r="B86" s="11">
        <v>46024</v>
      </c>
      <c r="C86" t="s">
        <v>39</v>
      </c>
      <c r="D86" t="str">
        <f>+VLOOKUP(C86,inventariof[],2,FALSE)</f>
        <v>BURBERRY HER</v>
      </c>
      <c r="E86">
        <v>26</v>
      </c>
      <c r="F86" s="10">
        <v>20000</v>
      </c>
      <c r="G86" s="2"/>
      <c r="I86" s="11">
        <v>46010</v>
      </c>
      <c r="J86" t="s">
        <v>132</v>
      </c>
      <c r="K86" t="str">
        <f>+VLOOKUP(ventasm[[#This Row],[Codigo]],inventariom[],2,FALSE)</f>
        <v>OUD FOR GLORY</v>
      </c>
      <c r="L86">
        <v>30</v>
      </c>
      <c r="M86" s="2">
        <v>15000</v>
      </c>
    </row>
    <row r="87" spans="2:14">
      <c r="B87" s="11">
        <v>46030</v>
      </c>
      <c r="C87" t="s">
        <v>43</v>
      </c>
      <c r="D87" t="str">
        <f>+VLOOKUP(C87,inventariof[],2,FALSE)</f>
        <v>212 VIP ROSE</v>
      </c>
      <c r="E87">
        <v>15</v>
      </c>
      <c r="F87" s="10">
        <v>15000</v>
      </c>
      <c r="G87" s="2"/>
      <c r="I87" s="11">
        <v>46010</v>
      </c>
      <c r="J87" t="s">
        <v>128</v>
      </c>
      <c r="K87" t="str">
        <f>+VLOOKUP(ventasm[[#This Row],[Codigo]],inventariom[],2,FALSE)</f>
        <v>KHAMRAH</v>
      </c>
      <c r="L87">
        <v>14</v>
      </c>
      <c r="M87" s="2">
        <v>10000</v>
      </c>
    </row>
    <row r="88" spans="2:14">
      <c r="B88" s="11">
        <v>46030</v>
      </c>
      <c r="C88" t="s">
        <v>43</v>
      </c>
      <c r="D88" t="str">
        <f>+VLOOKUP(C88,inventariof[],2,FALSE)</f>
        <v>212 VIP ROSE</v>
      </c>
      <c r="E88">
        <v>15</v>
      </c>
      <c r="F88" s="10">
        <v>15000</v>
      </c>
      <c r="G88" s="2"/>
      <c r="I88" s="11">
        <v>46010</v>
      </c>
      <c r="J88" t="s">
        <v>139</v>
      </c>
      <c r="K88" t="str">
        <f>+VLOOKUP(ventasm[[#This Row],[Codigo]],inventariom[],2,FALSE)</f>
        <v>AMBER OUD ROUGE</v>
      </c>
      <c r="L88">
        <v>26</v>
      </c>
      <c r="M88" s="2">
        <v>20000</v>
      </c>
    </row>
    <row r="89" spans="2:14">
      <c r="B89" s="11">
        <v>46030</v>
      </c>
      <c r="C89" t="s">
        <v>41</v>
      </c>
      <c r="D89" t="str">
        <f>+VLOOKUP(C89,inventariof[],2,FALSE)</f>
        <v>YARA CANDY</v>
      </c>
      <c r="E89">
        <v>15</v>
      </c>
      <c r="F89" s="10">
        <v>15000</v>
      </c>
      <c r="G89" s="2"/>
      <c r="I89" s="11">
        <v>46010</v>
      </c>
      <c r="J89" t="s">
        <v>80</v>
      </c>
      <c r="K89" t="str">
        <f>+VLOOKUP(ventasm[[#This Row],[Codigo]],inventariom[],2,FALSE)</f>
        <v xml:space="preserve">SAUVAGE </v>
      </c>
      <c r="L89">
        <v>25</v>
      </c>
      <c r="M89" s="2">
        <v>20000</v>
      </c>
    </row>
    <row r="90" spans="2:14">
      <c r="B90" s="11">
        <v>46030</v>
      </c>
      <c r="C90" t="s">
        <v>107</v>
      </c>
      <c r="D90" t="str">
        <f>+VLOOKUP(C90,inventariof[],2,FALSE)</f>
        <v>YARA MOI</v>
      </c>
      <c r="E90">
        <v>15</v>
      </c>
      <c r="F90" s="10">
        <v>10000</v>
      </c>
      <c r="G90" s="2"/>
      <c r="I90" s="11">
        <v>46012</v>
      </c>
      <c r="J90" t="s">
        <v>128</v>
      </c>
      <c r="K90" t="str">
        <f>+VLOOKUP(ventasm[[#This Row],[Codigo]],inventariom[],2,FALSE)</f>
        <v>KHAMRAH</v>
      </c>
      <c r="L90">
        <v>50</v>
      </c>
      <c r="M90" s="2">
        <v>15000</v>
      </c>
    </row>
    <row r="91" spans="2:14">
      <c r="B91" s="11">
        <v>46030</v>
      </c>
      <c r="C91" t="s">
        <v>60</v>
      </c>
      <c r="D91" t="str">
        <f>+VLOOKUP(C91,inventariof[],2,FALSE)</f>
        <v>TOY 2</v>
      </c>
      <c r="E91">
        <v>15</v>
      </c>
      <c r="F91" s="10">
        <v>15000</v>
      </c>
      <c r="G91" s="2"/>
      <c r="I91" s="11">
        <v>46012</v>
      </c>
      <c r="J91" t="s">
        <v>58</v>
      </c>
      <c r="K91" t="str">
        <f>+VLOOKUP(ventasm[[#This Row],[Codigo]],inventariom[],2,FALSE)</f>
        <v>LE MALE ELIXIR J.P</v>
      </c>
      <c r="L91">
        <v>62</v>
      </c>
      <c r="M91" s="2">
        <v>21000</v>
      </c>
    </row>
    <row r="92" spans="2:14">
      <c r="B92" s="11">
        <v>46030</v>
      </c>
      <c r="C92" t="s">
        <v>43</v>
      </c>
      <c r="D92" t="str">
        <f>+VLOOKUP(C92,inventariof[],2,FALSE)</f>
        <v>212 VIP ROSE</v>
      </c>
      <c r="E92">
        <v>30</v>
      </c>
      <c r="F92" s="10">
        <v>15000</v>
      </c>
      <c r="G92" s="2"/>
      <c r="I92" s="11">
        <v>46012</v>
      </c>
      <c r="J92" t="s">
        <v>140</v>
      </c>
      <c r="K92" t="str">
        <f>+VLOOKUP(ventasm[[#This Row],[Codigo]],inventariom[],2,FALSE)</f>
        <v>MANDARIN SKY</v>
      </c>
      <c r="L92">
        <v>55</v>
      </c>
      <c r="M92" s="2">
        <v>14300</v>
      </c>
    </row>
    <row r="93" spans="2:14">
      <c r="B93" t="s">
        <v>152</v>
      </c>
      <c r="C93" t="s">
        <v>43</v>
      </c>
      <c r="D93" t="str">
        <f>+VLOOKUP(C93,inventariof[],2,FALSE)</f>
        <v>212 VIP ROSE</v>
      </c>
      <c r="E93">
        <v>15</v>
      </c>
      <c r="F93" s="10">
        <v>15000</v>
      </c>
      <c r="G93" s="2"/>
      <c r="I93" s="11">
        <v>46050</v>
      </c>
      <c r="J93" t="s">
        <v>140</v>
      </c>
      <c r="K93" t="str">
        <f>+VLOOKUP(ventasm[[#This Row],[Codigo]],inventariom[],2,FALSE)</f>
        <v>MANDARIN SKY</v>
      </c>
      <c r="L93">
        <v>120</v>
      </c>
      <c r="M93" s="2">
        <v>31200</v>
      </c>
    </row>
    <row r="94" spans="2:14">
      <c r="B94" s="11">
        <v>46039</v>
      </c>
      <c r="C94" t="s">
        <v>39</v>
      </c>
      <c r="D94" t="str">
        <f>+VLOOKUP(C94,inventariof[],2,FALSE)</f>
        <v>BURBERRY HER</v>
      </c>
      <c r="E94">
        <v>35</v>
      </c>
      <c r="F94" s="10">
        <v>15000</v>
      </c>
      <c r="G94" s="2"/>
      <c r="I94" s="11">
        <v>46063</v>
      </c>
      <c r="J94" t="s">
        <v>128</v>
      </c>
      <c r="K94" t="str">
        <f>+VLOOKUP(ventasm[[#This Row],[Codigo]],inventariom[],2,FALSE)</f>
        <v>KHAMRAH</v>
      </c>
      <c r="L94">
        <v>60</v>
      </c>
      <c r="M94" s="2">
        <v>14300</v>
      </c>
    </row>
    <row r="95" spans="2:14">
      <c r="B95" s="11">
        <v>46044</v>
      </c>
      <c r="C95" t="s">
        <v>37</v>
      </c>
      <c r="D95" t="str">
        <f>+VLOOKUP(C95,inventariof[],2,FALSE)</f>
        <v>GOOD GIRL</v>
      </c>
      <c r="E95">
        <v>15</v>
      </c>
      <c r="F95" s="10">
        <v>10000</v>
      </c>
      <c r="G95" s="2"/>
      <c r="I95" s="11">
        <v>46064</v>
      </c>
      <c r="J95" t="s">
        <v>128</v>
      </c>
      <c r="K95" t="str">
        <f>+VLOOKUP(ventasm[[#This Row],[Codigo]],inventariom[],2,FALSE)</f>
        <v>KHAMRAH</v>
      </c>
      <c r="L95">
        <v>50</v>
      </c>
      <c r="M95" s="2">
        <v>13000</v>
      </c>
    </row>
    <row r="96" spans="2:14">
      <c r="B96" s="11">
        <v>46051</v>
      </c>
      <c r="C96" t="s">
        <v>45</v>
      </c>
      <c r="D96" t="str">
        <f>+VLOOKUP(C96,inventariof[],2,FALSE)</f>
        <v>LIGHT BLUE</v>
      </c>
      <c r="E96">
        <v>25</v>
      </c>
      <c r="F96" s="10">
        <v>20000</v>
      </c>
      <c r="G96" s="2"/>
      <c r="I96" s="11">
        <v>46065</v>
      </c>
      <c r="J96" t="s">
        <v>56</v>
      </c>
      <c r="K96" t="str">
        <f>+VLOOKUP(ventasm[[#This Row],[Codigo]],inventariom[],2,FALSE)</f>
        <v>ONE MILLION ELIXIR</v>
      </c>
      <c r="L96">
        <v>25</v>
      </c>
      <c r="M96" s="2">
        <v>18000</v>
      </c>
    </row>
    <row r="97" spans="2:13">
      <c r="B97" s="11">
        <v>46069</v>
      </c>
      <c r="C97" t="s">
        <v>125</v>
      </c>
      <c r="D97" t="str">
        <f>+VLOOKUP(C97,inventariof[],2,FALSE)</f>
        <v>IL FEMME</v>
      </c>
      <c r="E97">
        <v>14</v>
      </c>
      <c r="F97" s="10">
        <v>15000</v>
      </c>
      <c r="G97" s="2"/>
      <c r="I97" s="11">
        <v>46066</v>
      </c>
      <c r="J97" t="s">
        <v>86</v>
      </c>
      <c r="K97" t="str">
        <f>+VLOOKUP(ventasm[[#This Row],[Codigo]],inventariom[],2,FALSE)</f>
        <v>LE BEAU</v>
      </c>
      <c r="L97">
        <v>25</v>
      </c>
      <c r="M97" s="2">
        <v>18000</v>
      </c>
    </row>
    <row r="98" spans="2:13">
      <c r="B98" s="11">
        <v>46069</v>
      </c>
      <c r="C98" t="s">
        <v>125</v>
      </c>
      <c r="D98" t="str">
        <f>+VLOOKUP(C98,inventariof[],2,FALSE)</f>
        <v>IL FEMME</v>
      </c>
      <c r="E98">
        <v>16</v>
      </c>
      <c r="F98" s="10">
        <v>15000</v>
      </c>
      <c r="G98" s="2"/>
      <c r="I98" s="11">
        <v>46067</v>
      </c>
      <c r="J98" t="s">
        <v>104</v>
      </c>
      <c r="K98" t="str">
        <f>+VLOOKUP(ventasm[[#This Row],[Codigo]],inventariom[],2,FALSE)</f>
        <v>AQUA DI GIO</v>
      </c>
      <c r="L98">
        <v>25</v>
      </c>
      <c r="M98" s="2">
        <v>18000</v>
      </c>
    </row>
    <row r="99" spans="2:13">
      <c r="B99" s="11">
        <v>46078</v>
      </c>
      <c r="C99" t="s">
        <v>45</v>
      </c>
      <c r="D99" t="str">
        <f>+VLOOKUP(C99,inventariof[],2,FALSE)</f>
        <v>LIGHT BLUE</v>
      </c>
      <c r="E99">
        <v>60</v>
      </c>
      <c r="F99" s="10">
        <v>16200</v>
      </c>
      <c r="G99" s="2"/>
      <c r="I99" s="11">
        <v>46067</v>
      </c>
      <c r="J99" t="s">
        <v>78</v>
      </c>
      <c r="K99" t="str">
        <f>+VLOOKUP(ventasm[[#This Row],[Codigo]],inventariom[],2,FALSE)</f>
        <v>INVICTUS VICTORY</v>
      </c>
      <c r="L99">
        <v>15</v>
      </c>
      <c r="M99" s="2">
        <v>12000</v>
      </c>
    </row>
    <row r="100" spans="2:13">
      <c r="B100" s="11">
        <v>46103</v>
      </c>
      <c r="C100" t="s">
        <v>43</v>
      </c>
      <c r="D100" t="str">
        <f>+VLOOKUP(C100,inventariof[],2,FALSE)</f>
        <v>212 VIP ROSE</v>
      </c>
      <c r="E100">
        <v>25</v>
      </c>
      <c r="F100" s="10">
        <v>15000</v>
      </c>
      <c r="G100" s="2">
        <v>15000</v>
      </c>
      <c r="I100" s="11">
        <v>46068</v>
      </c>
      <c r="J100" t="s">
        <v>98</v>
      </c>
      <c r="K100" t="str">
        <f>+VLOOKUP(ventasm[[#This Row],[Codigo]],inventariom[],2,FALSE)</f>
        <v>FACONNABLE</v>
      </c>
      <c r="L100">
        <v>50</v>
      </c>
      <c r="M100" s="2">
        <v>24000</v>
      </c>
    </row>
    <row r="101" spans="2:13">
      <c r="B101" s="11">
        <v>46103</v>
      </c>
      <c r="C101" t="s">
        <v>37</v>
      </c>
      <c r="D101" t="str">
        <f>+VLOOKUP(C101,inventariof[],2,FALSE)</f>
        <v>GOOD GIRL</v>
      </c>
      <c r="E101">
        <v>27</v>
      </c>
      <c r="F101" s="10">
        <v>12000</v>
      </c>
      <c r="G101" s="2">
        <v>12000</v>
      </c>
      <c r="I101" s="11">
        <v>46069</v>
      </c>
      <c r="J101" t="s">
        <v>128</v>
      </c>
      <c r="K101" t="str">
        <f>+VLOOKUP(ventasm[[#This Row],[Codigo]],inventariom[],2,FALSE)</f>
        <v>KHAMRAH</v>
      </c>
      <c r="L101">
        <v>25</v>
      </c>
      <c r="M101" s="2">
        <v>18000</v>
      </c>
    </row>
    <row r="102" spans="2:13">
      <c r="B102" s="11">
        <v>46137</v>
      </c>
      <c r="C102" t="s">
        <v>41</v>
      </c>
      <c r="D102" t="str">
        <f>+VLOOKUP(C102,inventariof[],2,FALSE)</f>
        <v>YARA CANDY</v>
      </c>
      <c r="E102">
        <v>30</v>
      </c>
      <c r="F102" s="10">
        <v>15000</v>
      </c>
      <c r="G102" s="2">
        <v>15000</v>
      </c>
      <c r="I102" s="11">
        <v>46070</v>
      </c>
      <c r="J102" t="s">
        <v>128</v>
      </c>
      <c r="K102" t="str">
        <f>+VLOOKUP(ventasm[[#This Row],[Codigo]],inventariom[],2,FALSE)</f>
        <v>KHAMRAH</v>
      </c>
      <c r="L102">
        <v>26</v>
      </c>
      <c r="M102" s="2">
        <v>18000</v>
      </c>
    </row>
    <row r="103" spans="2:13">
      <c r="B103" s="11">
        <v>46137</v>
      </c>
      <c r="C103" t="s">
        <v>43</v>
      </c>
      <c r="D103" t="str">
        <f>+VLOOKUP(C103,inventariof[],2,FALSE)</f>
        <v>212 VIP ROSE</v>
      </c>
      <c r="E103">
        <v>15</v>
      </c>
      <c r="F103" s="10">
        <v>15000</v>
      </c>
      <c r="G103" s="2">
        <v>15000</v>
      </c>
      <c r="I103" s="11">
        <v>46071</v>
      </c>
      <c r="J103" t="s">
        <v>128</v>
      </c>
      <c r="K103" t="str">
        <f>+VLOOKUP(ventasm[[#This Row],[Codigo]],inventariom[],2,FALSE)</f>
        <v>KHAMRAH</v>
      </c>
      <c r="L103">
        <v>50</v>
      </c>
      <c r="M103" s="2">
        <v>36000</v>
      </c>
    </row>
    <row r="104" spans="2:13">
      <c r="B104" s="11">
        <v>46140</v>
      </c>
      <c r="C104" t="s">
        <v>45</v>
      </c>
      <c r="D104" t="str">
        <f>+VLOOKUP(C104,inventariof[],2,FALSE)</f>
        <v>LIGHT BLUE</v>
      </c>
      <c r="E104">
        <v>14</v>
      </c>
      <c r="F104" s="10" t="s">
        <v>189</v>
      </c>
      <c r="G104" s="2">
        <v>15000</v>
      </c>
      <c r="I104" s="11">
        <v>46078</v>
      </c>
      <c r="J104" t="s">
        <v>153</v>
      </c>
      <c r="K104" t="str">
        <f>+VLOOKUP(ventasm[[#This Row],[Codigo]],inventariom[],2,FALSE)</f>
        <v>BLEU DE CHANEL</v>
      </c>
      <c r="L104">
        <v>55</v>
      </c>
      <c r="M104" s="2">
        <v>20000</v>
      </c>
    </row>
    <row r="105" spans="2:13">
      <c r="B105" s="11">
        <v>46140</v>
      </c>
      <c r="C105" t="s">
        <v>83</v>
      </c>
      <c r="D105" t="str">
        <f>+VLOOKUP(C105,inventariof[],2,FALSE)</f>
        <v>LA VIE EST BELLE</v>
      </c>
      <c r="E105">
        <v>14</v>
      </c>
      <c r="F105" s="10">
        <v>15000</v>
      </c>
      <c r="G105" s="2"/>
      <c r="I105" s="11">
        <v>46079</v>
      </c>
      <c r="J105" t="s">
        <v>128</v>
      </c>
      <c r="K105" s="25" t="str">
        <f>+VLOOKUP(ventasm[[#This Row],[Codigo]],inventariom[],2,FALSE)</f>
        <v>KHAMRAH</v>
      </c>
      <c r="L105">
        <v>60</v>
      </c>
      <c r="M105" s="2" t="s">
        <v>160</v>
      </c>
    </row>
    <row r="106" spans="2:13">
      <c r="D106" t="e">
        <f>+VLOOKUP(C106,inventariof[],2,FALSE)</f>
        <v>#N/A</v>
      </c>
      <c r="F106" s="10"/>
      <c r="G106" s="2"/>
      <c r="I106" s="11">
        <v>46081</v>
      </c>
      <c r="J106" t="s">
        <v>57</v>
      </c>
      <c r="K106" t="str">
        <f>+VLOOKUP(ventasm[[#This Row],[Codigo]],inventariom[],2,FALSE)</f>
        <v>ISSEY MIYAKE</v>
      </c>
      <c r="L106">
        <v>60</v>
      </c>
      <c r="M106" s="2">
        <v>25200</v>
      </c>
    </row>
    <row r="107" spans="2:13">
      <c r="D107" t="e">
        <f>+VLOOKUP(C107,inventariof[],2,FALSE)</f>
        <v>#N/A</v>
      </c>
      <c r="F107" s="10"/>
      <c r="G107" s="2"/>
      <c r="I107" s="11">
        <v>46082</v>
      </c>
      <c r="J107" t="s">
        <v>69</v>
      </c>
      <c r="K107" t="str">
        <f>+VLOOKUP(ventasm[[#This Row],[Codigo]],inventariom[],2,FALSE)</f>
        <v>212 NYS</v>
      </c>
      <c r="L107">
        <v>60</v>
      </c>
      <c r="M107">
        <v>20000</v>
      </c>
    </row>
    <row r="108" spans="2:13">
      <c r="F108" s="10">
        <f>SUBTOTAL(109,ventasf[Valor Venta])</f>
        <v>1437200</v>
      </c>
      <c r="G108" s="3">
        <f>SUBTOTAL(109,ventasf[CARTERA])</f>
        <v>101000</v>
      </c>
      <c r="I108" s="11">
        <v>46085</v>
      </c>
      <c r="J108" t="s">
        <v>58</v>
      </c>
      <c r="K108" t="str">
        <f>+VLOOKUP(ventasm[[#This Row],[Codigo]],inventariom[],2,FALSE)</f>
        <v>LE MALE ELIXIR J.P</v>
      </c>
      <c r="L108">
        <v>14</v>
      </c>
      <c r="M108">
        <v>20000</v>
      </c>
    </row>
    <row r="109" spans="2:13">
      <c r="I109" t="s">
        <v>166</v>
      </c>
      <c r="J109" t="s">
        <v>153</v>
      </c>
      <c r="K109" t="str">
        <f>+VLOOKUP(ventasm[[#This Row],[Codigo]],inventariom[],2,FALSE)</f>
        <v>BLEU DE CHANEL</v>
      </c>
      <c r="L109">
        <v>14</v>
      </c>
      <c r="M109">
        <v>12000</v>
      </c>
    </row>
    <row r="110" spans="2:13">
      <c r="I110" s="11">
        <v>46100</v>
      </c>
      <c r="J110" t="s">
        <v>140</v>
      </c>
      <c r="K110" t="str">
        <f>+VLOOKUP(ventasm[[#This Row],[Codigo]],inventariom[],2,FALSE)</f>
        <v>MANDARIN SKY</v>
      </c>
      <c r="L110">
        <v>14</v>
      </c>
      <c r="M110">
        <v>12000</v>
      </c>
    </row>
    <row r="111" spans="2:13">
      <c r="I111" t="s">
        <v>167</v>
      </c>
      <c r="J111" t="s">
        <v>57</v>
      </c>
      <c r="K111" t="str">
        <f>+VLOOKUP(ventasm[[#This Row],[Codigo]],inventariom[],2,FALSE)</f>
        <v>ISSEY MIYAKE</v>
      </c>
      <c r="L111">
        <v>14</v>
      </c>
      <c r="M111">
        <v>12000</v>
      </c>
    </row>
    <row r="112" spans="2:13">
      <c r="I112" s="11">
        <v>46101</v>
      </c>
      <c r="J112" t="s">
        <v>57</v>
      </c>
      <c r="K112" t="str">
        <f>+VLOOKUP(ventasm[[#This Row],[Codigo]],inventariom[],2,FALSE)</f>
        <v>ISSEY MIYAKE</v>
      </c>
      <c r="L112">
        <v>26</v>
      </c>
      <c r="M112">
        <v>15000</v>
      </c>
    </row>
    <row r="113" spans="9:14">
      <c r="I113" t="s">
        <v>168</v>
      </c>
      <c r="J113" t="s">
        <v>95</v>
      </c>
      <c r="K113" t="str">
        <f>+VLOOKUP(ventasm[[#This Row],[Codigo]],inventariom[],2,FALSE)</f>
        <v>SOLO YAMBAL</v>
      </c>
      <c r="L113">
        <v>15</v>
      </c>
      <c r="M113">
        <v>10000</v>
      </c>
    </row>
    <row r="114" spans="9:14">
      <c r="I114" s="11">
        <v>46102</v>
      </c>
      <c r="J114" t="s">
        <v>98</v>
      </c>
      <c r="K114" t="str">
        <f>+VLOOKUP(ventasm[[#This Row],[Codigo]],inventariom[],2,FALSE)</f>
        <v>FACONNABLE</v>
      </c>
      <c r="L114">
        <v>16</v>
      </c>
      <c r="M114">
        <v>15000</v>
      </c>
    </row>
    <row r="115" spans="9:14">
      <c r="I115" s="11">
        <v>46114</v>
      </c>
      <c r="J115" t="s">
        <v>104</v>
      </c>
      <c r="K115" t="str">
        <f>+VLOOKUP(ventasm[[#This Row],[Codigo]],inventariom[],2,FALSE)</f>
        <v>AQUA DI GIO</v>
      </c>
      <c r="L115">
        <v>19</v>
      </c>
      <c r="M115">
        <v>10000</v>
      </c>
    </row>
    <row r="116" spans="9:14">
      <c r="I116" s="11">
        <v>46114</v>
      </c>
      <c r="J116" t="s">
        <v>80</v>
      </c>
      <c r="K116" t="str">
        <f>+VLOOKUP(ventasm[[#This Row],[Codigo]],inventariom[],2,FALSE)</f>
        <v xml:space="preserve">SAUVAGE </v>
      </c>
      <c r="L116">
        <v>25</v>
      </c>
      <c r="M116">
        <v>12000</v>
      </c>
    </row>
    <row r="117" spans="9:14">
      <c r="I117" s="11">
        <v>46114</v>
      </c>
      <c r="J117" t="s">
        <v>80</v>
      </c>
      <c r="K117" t="str">
        <f>+VLOOKUP(ventasm[[#This Row],[Codigo]],inventariom[],2,FALSE)</f>
        <v xml:space="preserve">SAUVAGE </v>
      </c>
      <c r="L117">
        <v>15</v>
      </c>
      <c r="M117">
        <v>20000</v>
      </c>
    </row>
    <row r="118" spans="9:14">
      <c r="I118" s="11">
        <v>46122</v>
      </c>
      <c r="J118" t="s">
        <v>109</v>
      </c>
      <c r="K118" s="25" t="str">
        <f>+VLOOKUP(ventasm[[#This Row],[Codigo]],inventariom[],2,FALSE)</f>
        <v>ASAD LATTAFA</v>
      </c>
      <c r="L118">
        <v>60</v>
      </c>
      <c r="M118" t="s">
        <v>178</v>
      </c>
      <c r="N118">
        <v>16000</v>
      </c>
    </row>
    <row r="119" spans="9:14">
      <c r="I119" s="11">
        <v>46126</v>
      </c>
      <c r="J119" t="s">
        <v>86</v>
      </c>
      <c r="K119" s="25" t="str">
        <f>+VLOOKUP(ventasm[[#This Row],[Codigo]],inventariom[],2,FALSE)</f>
        <v>LE BEAU</v>
      </c>
      <c r="L119">
        <v>60</v>
      </c>
      <c r="M119" t="s">
        <v>178</v>
      </c>
      <c r="N119">
        <v>23400</v>
      </c>
    </row>
    <row r="120" spans="9:14">
      <c r="I120" s="11">
        <v>46126</v>
      </c>
      <c r="J120" t="s">
        <v>153</v>
      </c>
      <c r="K120" s="25" t="str">
        <f>+VLOOKUP(ventasm[[#This Row],[Codigo]],inventariom[],2,FALSE)</f>
        <v>BLEU DE CHANEL</v>
      </c>
      <c r="L120">
        <v>55</v>
      </c>
      <c r="M120" t="s">
        <v>178</v>
      </c>
      <c r="N120">
        <v>20000</v>
      </c>
    </row>
    <row r="121" spans="9:14">
      <c r="I121" s="11">
        <v>46137</v>
      </c>
      <c r="J121" t="s">
        <v>98</v>
      </c>
      <c r="K121" t="str">
        <f>+VLOOKUP(ventasm[[#This Row],[Codigo]],inventariom[],2,FALSE)</f>
        <v>FACONNABLE</v>
      </c>
      <c r="L121">
        <v>14</v>
      </c>
      <c r="M121" t="s">
        <v>165</v>
      </c>
      <c r="N121">
        <v>10000</v>
      </c>
    </row>
    <row r="122" spans="9:14">
      <c r="I122" s="11">
        <v>46137</v>
      </c>
      <c r="J122" t="s">
        <v>153</v>
      </c>
      <c r="K122" t="str">
        <f>+VLOOKUP(ventasm[[#This Row],[Codigo]],inventariom[],2,FALSE)</f>
        <v>BLEU DE CHANEL</v>
      </c>
      <c r="L122">
        <v>15</v>
      </c>
      <c r="M122">
        <v>15000</v>
      </c>
    </row>
    <row r="123" spans="9:14">
      <c r="I123" s="11">
        <v>46137</v>
      </c>
      <c r="J123" t="s">
        <v>58</v>
      </c>
      <c r="K123" t="str">
        <f>+VLOOKUP(ventasm[[#This Row],[Codigo]],inventariom[],2,FALSE)</f>
        <v>LE MALE ELIXIR J.P</v>
      </c>
      <c r="L123">
        <v>26</v>
      </c>
      <c r="M123" t="s">
        <v>165</v>
      </c>
      <c r="N123">
        <v>15000</v>
      </c>
    </row>
    <row r="124" spans="9:14">
      <c r="I124" s="11">
        <v>46140</v>
      </c>
      <c r="J124" t="s">
        <v>140</v>
      </c>
      <c r="K124" t="str">
        <f>+VLOOKUP(ventasm[[#This Row],[Codigo]],inventariom[],2,FALSE)</f>
        <v>MANDARIN SKY</v>
      </c>
      <c r="L124">
        <v>75</v>
      </c>
      <c r="M124" t="s">
        <v>190</v>
      </c>
      <c r="N124">
        <v>54000</v>
      </c>
    </row>
    <row r="125" spans="9:14">
      <c r="K125" t="e">
        <f>+VLOOKUP(ventasm[[#This Row],[Codigo]],inventariom[],2,FALSE)</f>
        <v>#N/A</v>
      </c>
    </row>
    <row r="126" spans="9:14">
      <c r="K126" t="e">
        <f>+VLOOKUP(ventasm[[#This Row],[Codigo]],inventariom[],2,FALSE)</f>
        <v>#N/A</v>
      </c>
    </row>
    <row r="127" spans="9:14">
      <c r="K127" t="e">
        <f>+VLOOKUP(ventasm[[#This Row],[Codigo]],inventariom[],2,FALSE)</f>
        <v>#N/A</v>
      </c>
    </row>
    <row r="128" spans="9:14">
      <c r="K128" t="e">
        <f>+VLOOKUP(ventasm[[#This Row],[Codigo]],inventariom[],2,FALSE)</f>
        <v>#N/A</v>
      </c>
    </row>
    <row r="129" spans="11:14">
      <c r="K129" t="e">
        <f>+VLOOKUP(ventasm[[#This Row],[Codigo]],inventariom[],2,FALSE)</f>
        <v>#N/A</v>
      </c>
    </row>
    <row r="130" spans="11:14">
      <c r="K130" t="e">
        <f>+VLOOKUP(ventasm[[#This Row],[Codigo]],inventariom[],2,FALSE)</f>
        <v>#N/A</v>
      </c>
    </row>
    <row r="131" spans="11:14">
      <c r="K131" t="e">
        <f>+VLOOKUP(ventasm[[#This Row],[Codigo]],inventariom[],2,FALSE)</f>
        <v>#N/A</v>
      </c>
    </row>
    <row r="132" spans="11:14">
      <c r="K132" t="e">
        <f>+VLOOKUP(ventasm[[#This Row],[Codigo]],inventariom[],2,FALSE)</f>
        <v>#N/A</v>
      </c>
    </row>
    <row r="133" spans="11:14">
      <c r="K133" t="e">
        <f>+VLOOKUP(ventasm[[#This Row],[Codigo]],inventariom[],2,FALSE)</f>
        <v>#N/A</v>
      </c>
    </row>
    <row r="134" spans="11:14">
      <c r="K134" t="e">
        <f>+VLOOKUP(ventasm[[#This Row],[Codigo]],inventariom[],2,FALSE)</f>
        <v>#N/A</v>
      </c>
    </row>
    <row r="135" spans="11:14">
      <c r="M135" s="3">
        <f>SUBTOTAL(109,ventasm[Valor Venta])</f>
        <v>2048200</v>
      </c>
      <c r="N135" s="3">
        <f>SUBTOTAL(109,ventasm[CARTERA])</f>
        <v>156400</v>
      </c>
    </row>
  </sheetData>
  <phoneticPr fontId="3" type="noConversion"/>
  <pageMargins left="0.7" right="0.7" top="0.75" bottom="0.75" header="0.3" footer="0.3"/>
  <pageSetup orientation="portrait" r:id="rId1"/>
  <ignoredErrors>
    <ignoredError sqref="C3" listDataValidation="1"/>
  </ignoredErrors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44DAA6-7616-4104-AA43-FAC44A373AD3}">
          <x14:formula1>
            <xm:f>'INVENTARIO MASCULINO'!$B$5:$B$15</xm:f>
          </x14:formula1>
          <xm:sqref>J3:J51</xm:sqref>
        </x14:dataValidation>
        <x14:dataValidation type="list" allowBlank="1" showInputMessage="1" showErrorMessage="1" xr:uid="{C2CF443D-C7E5-4254-BB74-5EEE5AA31D76}">
          <x14:formula1>
            <xm:f>'INVENTARIO FEMENINO'!$B$5:$B$17</xm:f>
          </x14:formula1>
          <xm:sqref>C3:C28</xm:sqref>
        </x14:dataValidation>
        <x14:dataValidation type="list" allowBlank="1" showInputMessage="1" showErrorMessage="1" xr:uid="{40BE388A-1D23-4ED4-9ABF-28C640999C6D}">
          <x14:formula1>
            <xm:f>'INVENTARIO FEMENINO'!$B$5:$B$18</xm:f>
          </x14:formula1>
          <xm:sqref>C29:C32</xm:sqref>
        </x14:dataValidation>
        <x14:dataValidation type="list" allowBlank="1" showInputMessage="1" showErrorMessage="1" xr:uid="{62F7DB46-9797-49E9-BE62-E55566DFE2E3}">
          <x14:formula1>
            <xm:f>'INVENTARIO FEMENINO'!$B$5:$B$20</xm:f>
          </x14:formula1>
          <xm:sqref>C33</xm:sqref>
        </x14:dataValidation>
        <x14:dataValidation type="list" allowBlank="1" showInputMessage="1" showErrorMessage="1" xr:uid="{F3BF5FD7-D7FE-4BF2-866E-FB2E34C1E329}">
          <x14:formula1>
            <xm:f>'INVENTARIO FEMENINO'!$B$5:$B$25</xm:f>
          </x14:formula1>
          <xm:sqref>C34:C75 C77:C107</xm:sqref>
        </x14:dataValidation>
        <x14:dataValidation type="list" allowBlank="1" showInputMessage="1" showErrorMessage="1" xr:uid="{D91A3B02-D4C8-45C9-B48A-52056B40CB48}">
          <x14:formula1>
            <xm:f>'INVENTARIO MASCULINO'!$B$5:$B$24</xm:f>
          </x14:formula1>
          <xm:sqref>J52:J77 J79 J81:J134</xm:sqref>
        </x14:dataValidation>
        <x14:dataValidation type="list" allowBlank="1" showInputMessage="1" showErrorMessage="1" xr:uid="{3F04F421-43AA-4E37-B308-44EDFC3D22CF}">
          <x14:formula1>
            <xm:f>'INVENTARIO FEMENINO'!$B$5:$B$23</xm:f>
          </x14:formula1>
          <xm:sqref>C76</xm:sqref>
        </x14:dataValidation>
        <x14:dataValidation type="list" allowBlank="1" showInputMessage="1" showErrorMessage="1" xr:uid="{CA0D07A6-56BC-46F3-B83E-815AE6783FF3}">
          <x14:formula1>
            <xm:f>'INVENTARIO MASCULINO'!$B$5:$B$19</xm:f>
          </x14:formula1>
          <xm:sqref>J78</xm:sqref>
        </x14:dataValidation>
        <x14:dataValidation type="list" allowBlank="1" showInputMessage="1" showErrorMessage="1" xr:uid="{010E71D0-4648-49F3-8F78-4AF7234DB286}">
          <x14:formula1>
            <xm:f>'INVENTARIO MASCULINO'!$B$5:$B$20</xm:f>
          </x14:formula1>
          <xm:sqref>J80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70CC-73F5-4E32-A178-3213509C2858}">
  <dimension ref="A1:R28"/>
  <sheetViews>
    <sheetView showGridLines="0" topLeftCell="A6" zoomScale="90" zoomScaleNormal="90" workbookViewId="0">
      <selection activeCell="F23" sqref="F23"/>
    </sheetView>
  </sheetViews>
  <sheetFormatPr baseColWidth="10" defaultRowHeight="15"/>
  <cols>
    <col min="1" max="1" width="5.28515625" customWidth="1"/>
    <col min="2" max="2" width="23.42578125" bestFit="1" customWidth="1"/>
    <col min="3" max="3" width="18.5703125" bestFit="1" customWidth="1"/>
    <col min="4" max="4" width="14.42578125" customWidth="1"/>
    <col min="5" max="5" width="16" customWidth="1"/>
    <col min="6" max="6" width="15.140625" bestFit="1" customWidth="1"/>
    <col min="7" max="7" width="14.5703125" customWidth="1"/>
    <col min="8" max="8" width="14" customWidth="1"/>
    <col min="9" max="9" width="14.28515625" customWidth="1"/>
    <col min="10" max="10" width="15" customWidth="1"/>
    <col min="11" max="11" width="12.85546875" customWidth="1"/>
    <col min="12" max="12" width="15.85546875" customWidth="1"/>
    <col min="13" max="13" width="17.5703125" customWidth="1"/>
    <col min="14" max="14" width="15" customWidth="1"/>
    <col min="15" max="15" width="17" customWidth="1"/>
    <col min="16" max="16" width="17.42578125" customWidth="1"/>
    <col min="17" max="17" width="16.7109375" customWidth="1"/>
    <col min="18" max="18" width="17.5703125" customWidth="1"/>
  </cols>
  <sheetData>
    <row r="1" spans="1:18" s="24" customFormat="1" ht="18.75" customHeight="1">
      <c r="A1" s="48" t="s">
        <v>124</v>
      </c>
      <c r="B1" s="48"/>
      <c r="C1" s="48"/>
      <c r="D1" s="48"/>
      <c r="E1" s="48"/>
      <c r="F1" s="48"/>
      <c r="G1" s="48"/>
      <c r="H1" s="48"/>
      <c r="I1" s="48"/>
      <c r="J1" s="48"/>
    </row>
    <row r="2" spans="1:18" s="24" customFormat="1" ht="25.5" customHeight="1">
      <c r="A2" s="48"/>
      <c r="B2" s="48"/>
      <c r="C2" s="48"/>
      <c r="D2" s="48"/>
      <c r="E2" s="48"/>
      <c r="F2" s="48"/>
      <c r="G2" s="48"/>
      <c r="H2" s="48"/>
      <c r="I2" s="48"/>
      <c r="J2" s="48"/>
    </row>
    <row r="3" spans="1:18" ht="5.45" customHeight="1"/>
    <row r="4" spans="1:18" ht="15.75" thickBot="1">
      <c r="B4" s="13" t="s">
        <v>35</v>
      </c>
      <c r="C4" s="13" t="s">
        <v>0</v>
      </c>
      <c r="D4" s="13" t="s">
        <v>13</v>
      </c>
      <c r="E4" s="13" t="s">
        <v>20</v>
      </c>
      <c r="F4" s="13" t="s">
        <v>14</v>
      </c>
      <c r="G4" s="13" t="s">
        <v>19</v>
      </c>
      <c r="H4" s="13" t="s">
        <v>16</v>
      </c>
      <c r="I4" s="13" t="s">
        <v>15</v>
      </c>
      <c r="J4" s="13" t="s">
        <v>18</v>
      </c>
      <c r="K4" s="13" t="s">
        <v>17</v>
      </c>
      <c r="L4" s="13" t="s">
        <v>21</v>
      </c>
      <c r="M4" s="13" t="s">
        <v>22</v>
      </c>
      <c r="N4" s="13" t="s">
        <v>23</v>
      </c>
      <c r="O4" s="13" t="s">
        <v>29</v>
      </c>
      <c r="P4" s="13" t="s">
        <v>31</v>
      </c>
      <c r="Q4" s="13" t="s">
        <v>47</v>
      </c>
      <c r="R4" s="13" t="s">
        <v>34</v>
      </c>
    </row>
    <row r="5" spans="1:18">
      <c r="B5" t="s">
        <v>50</v>
      </c>
      <c r="C5" s="26" t="s">
        <v>51</v>
      </c>
      <c r="D5">
        <v>190</v>
      </c>
      <c r="E5" s="12">
        <f>+D5/14</f>
        <v>13.571428571428571</v>
      </c>
      <c r="F5" s="1">
        <v>340</v>
      </c>
      <c r="G5" s="17">
        <f>+inventariom[[#This Row],[Costo de F]]*14</f>
        <v>4760</v>
      </c>
      <c r="H5" s="17">
        <v>2100</v>
      </c>
      <c r="I5" s="17">
        <v>500</v>
      </c>
      <c r="J5" s="17">
        <v>1000</v>
      </c>
      <c r="K5" s="3">
        <f>+inventariom[[#This Row],[Costo x frasco]]+inventariom[[#This Row],[Costo Envase]]+inventariom[[#This Row],[Costo alchool]]+inventariom[[#This Row],[Costo logistico]]</f>
        <v>8360</v>
      </c>
      <c r="L5" s="17">
        <v>15000</v>
      </c>
      <c r="M5" s="3">
        <f>+inventariom[[#This Row],[Precio de venta]]-inventariom[[#This Row],[Total Frasco]]</f>
        <v>6640</v>
      </c>
      <c r="N5" s="17">
        <f>+inventariom[[#This Row],[Ganancia x frasco]]*inventariom[[#This Row],[Cantidad frasco]]</f>
        <v>90114.28571428571</v>
      </c>
      <c r="O5">
        <f>+inventariom[[#This Row],[Stock Gramos]]</f>
        <v>190</v>
      </c>
      <c r="P5">
        <f>+SUMIF(ventasm[Codigo],inventariom[[#This Row],[Codigo]],ventasm[Gramos Vendidos])</f>
        <v>172</v>
      </c>
      <c r="Q5">
        <f>+inventariom[[#This Row],[Gramos en Stock]]-inventariom[[#This Row],[Gramos vendidos]]</f>
        <v>18</v>
      </c>
      <c r="R5" s="12">
        <f>+inventariom[[#This Row],[Gramos actuales]]/14</f>
        <v>1.2857142857142858</v>
      </c>
    </row>
    <row r="6" spans="1:18">
      <c r="B6" t="s">
        <v>55</v>
      </c>
      <c r="C6" s="14">
        <v>0.875</v>
      </c>
      <c r="D6">
        <v>100</v>
      </c>
      <c r="E6" s="12">
        <f t="shared" ref="E6:E11" si="0">+D6/14</f>
        <v>7.1428571428571432</v>
      </c>
      <c r="F6" s="1">
        <v>430</v>
      </c>
      <c r="G6" s="2">
        <f>+inventariom[[#This Row],[Costo de F]]*14</f>
        <v>6020</v>
      </c>
      <c r="H6" s="17">
        <v>2100</v>
      </c>
      <c r="I6" s="17">
        <v>500</v>
      </c>
      <c r="J6" s="2">
        <v>1000</v>
      </c>
      <c r="K6" s="3">
        <f>+inventariom[[#This Row],[Costo x frasco]]+inventariom[[#This Row],[Costo Envase]]+inventariom[[#This Row],[Costo alchool]]+inventariom[[#This Row],[Costo logistico]]</f>
        <v>9620</v>
      </c>
      <c r="L6" s="2">
        <v>15000</v>
      </c>
      <c r="M6" s="3">
        <f>+inventariom[[#This Row],[Precio de venta]]-inventariom[[#This Row],[Total Frasco]]</f>
        <v>5380</v>
      </c>
      <c r="N6" s="2">
        <f>+inventariom[[#This Row],[Ganancia x frasco]]*inventariom[[#This Row],[Cantidad frasco]]</f>
        <v>38428.571428571428</v>
      </c>
      <c r="O6">
        <f>+inventariom[[#This Row],[Stock Gramos]]</f>
        <v>100</v>
      </c>
      <c r="P6">
        <f>+SUMIF(ventasm[Codigo],inventariom[[#This Row],[Codigo]],ventasm[Gramos Vendidos])</f>
        <v>42</v>
      </c>
      <c r="Q6">
        <f>+inventariom[[#This Row],[Gramos en Stock]]-inventariom[[#This Row],[Gramos vendidos]]</f>
        <v>58</v>
      </c>
      <c r="R6" s="12">
        <f>+inventariom[[#This Row],[Gramos actuales]]/14</f>
        <v>4.1428571428571432</v>
      </c>
    </row>
    <row r="7" spans="1:18">
      <c r="B7" t="s">
        <v>56</v>
      </c>
      <c r="C7" s="18" t="s">
        <v>53</v>
      </c>
      <c r="D7">
        <v>290</v>
      </c>
      <c r="E7" s="12">
        <f t="shared" si="0"/>
        <v>20.714285714285715</v>
      </c>
      <c r="F7" s="1">
        <v>310</v>
      </c>
      <c r="G7" s="17">
        <f>+inventariom[[#This Row],[Costo de F]]*14</f>
        <v>4340</v>
      </c>
      <c r="H7" s="17">
        <v>2100</v>
      </c>
      <c r="I7" s="17">
        <v>500</v>
      </c>
      <c r="J7" s="17">
        <v>1000</v>
      </c>
      <c r="K7" s="3">
        <f>+inventariom[[#This Row],[Costo x frasco]]+inventariom[[#This Row],[Costo Envase]]+inventariom[[#This Row],[Costo alchool]]+inventariom[[#This Row],[Costo logistico]]</f>
        <v>7940</v>
      </c>
      <c r="L7" s="17">
        <v>15000</v>
      </c>
      <c r="M7" s="3">
        <f>+inventariom[[#This Row],[Precio de venta]]-inventariom[[#This Row],[Total Frasco]]</f>
        <v>7060</v>
      </c>
      <c r="N7" s="17">
        <f>+inventariom[[#This Row],[Ganancia x frasco]]*inventariom[[#This Row],[Cantidad frasco]]</f>
        <v>146242.85714285716</v>
      </c>
      <c r="O7">
        <f>+inventariom[[#This Row],[Stock Gramos]]</f>
        <v>290</v>
      </c>
      <c r="P7">
        <f>+SUMIF(ventasm[Codigo],inventariom[[#This Row],[Codigo]],ventasm[Gramos Vendidos])</f>
        <v>266</v>
      </c>
      <c r="Q7">
        <f>+inventariom[[#This Row],[Gramos en Stock]]-inventariom[[#This Row],[Gramos vendidos]]</f>
        <v>24</v>
      </c>
      <c r="R7" s="12">
        <f>+inventariom[[#This Row],[Gramos actuales]]/14</f>
        <v>1.7142857142857142</v>
      </c>
    </row>
    <row r="8" spans="1:18">
      <c r="B8" t="s">
        <v>57</v>
      </c>
      <c r="C8" s="18" t="s">
        <v>176</v>
      </c>
      <c r="D8">
        <v>500</v>
      </c>
      <c r="E8" s="12">
        <f t="shared" si="0"/>
        <v>35.714285714285715</v>
      </c>
      <c r="F8" s="1">
        <v>360</v>
      </c>
      <c r="G8" s="17">
        <f>+inventariom[[#This Row],[Costo de F]]*14</f>
        <v>5040</v>
      </c>
      <c r="H8" s="17">
        <v>2100</v>
      </c>
      <c r="I8" s="17">
        <v>500</v>
      </c>
      <c r="J8" s="17">
        <v>1000</v>
      </c>
      <c r="K8" s="3">
        <f>+inventariom[[#This Row],[Costo x frasco]]+inventariom[[#This Row],[Costo Envase]]+inventariom[[#This Row],[Costo alchool]]+inventariom[[#This Row],[Costo logistico]]</f>
        <v>8640</v>
      </c>
      <c r="L8" s="17">
        <v>15000</v>
      </c>
      <c r="M8" s="3">
        <f>+inventariom[[#This Row],[Precio de venta]]-inventariom[[#This Row],[Total Frasco]]</f>
        <v>6360</v>
      </c>
      <c r="N8" s="17">
        <f>+inventariom[[#This Row],[Ganancia x frasco]]*inventariom[[#This Row],[Cantidad frasco]]</f>
        <v>227142.85714285716</v>
      </c>
      <c r="O8">
        <f>+inventariom[[#This Row],[Stock Gramos]]</f>
        <v>500</v>
      </c>
      <c r="P8">
        <f>+SUMIF(ventasm[Codigo],inventariom[[#This Row],[Codigo]],ventasm[Gramos Vendidos])</f>
        <v>485</v>
      </c>
      <c r="Q8">
        <f>+inventariom[[#This Row],[Gramos en Stock]]-inventariom[[#This Row],[Gramos vendidos]]</f>
        <v>15</v>
      </c>
      <c r="R8" s="12">
        <f>+inventariom[[#This Row],[Gramos actuales]]/14</f>
        <v>1.0714285714285714</v>
      </c>
    </row>
    <row r="9" spans="1:18">
      <c r="B9" t="s">
        <v>58</v>
      </c>
      <c r="C9" s="18" t="s">
        <v>54</v>
      </c>
      <c r="D9">
        <v>300</v>
      </c>
      <c r="E9" s="12">
        <f t="shared" si="0"/>
        <v>21.428571428571427</v>
      </c>
      <c r="F9" s="1">
        <v>340</v>
      </c>
      <c r="G9" s="2">
        <f>+inventariom[[#This Row],[Costo de F]]*14</f>
        <v>4760</v>
      </c>
      <c r="H9" s="17">
        <v>2100</v>
      </c>
      <c r="I9" s="17">
        <v>500</v>
      </c>
      <c r="J9" s="2">
        <v>1000</v>
      </c>
      <c r="K9" s="3">
        <f>+inventariom[[#This Row],[Costo x frasco]]+inventariom[[#This Row],[Costo Envase]]+inventariom[[#This Row],[Costo alchool]]+inventariom[[#This Row],[Costo logistico]]</f>
        <v>8360</v>
      </c>
      <c r="L9" s="2">
        <v>15000</v>
      </c>
      <c r="M9" s="3">
        <f>+inventariom[[#This Row],[Precio de venta]]-inventariom[[#This Row],[Total Frasco]]</f>
        <v>6640</v>
      </c>
      <c r="N9" s="2">
        <f>+inventariom[[#This Row],[Ganancia x frasco]]*inventariom[[#This Row],[Cantidad frasco]]</f>
        <v>142285.71428571429</v>
      </c>
      <c r="O9">
        <f>+inventariom[[#This Row],[Stock Gramos]]</f>
        <v>300</v>
      </c>
      <c r="P9">
        <f>+SUMIF(ventasm[Codigo],inventariom[[#This Row],[Codigo]],ventasm[Gramos Vendidos])</f>
        <v>278</v>
      </c>
      <c r="Q9">
        <f>+inventariom[[#This Row],[Gramos en Stock]]-inventariom[[#This Row],[Gramos vendidos]]</f>
        <v>22</v>
      </c>
      <c r="R9" s="12">
        <f>+inventariom[[#This Row],[Gramos actuales]]/14</f>
        <v>1.5714285714285714</v>
      </c>
    </row>
    <row r="10" spans="1:18">
      <c r="B10" t="s">
        <v>69</v>
      </c>
      <c r="C10" s="25" t="s">
        <v>70</v>
      </c>
      <c r="D10">
        <v>100</v>
      </c>
      <c r="E10" s="12">
        <f t="shared" si="0"/>
        <v>7.1428571428571432</v>
      </c>
      <c r="F10" s="8">
        <v>320</v>
      </c>
      <c r="G10" s="2">
        <f>+inventariom[[#This Row],[Costo de F]]*14</f>
        <v>4480</v>
      </c>
      <c r="H10" s="17">
        <v>2100</v>
      </c>
      <c r="I10" s="17">
        <v>500</v>
      </c>
      <c r="J10" s="2">
        <v>1000</v>
      </c>
      <c r="K10" s="3">
        <f>+inventariom[[#This Row],[Costo x frasco]]+inventariom[[#This Row],[Costo Envase]]+inventariom[[#This Row],[Costo alchool]]+inventariom[[#This Row],[Costo logistico]]</f>
        <v>8080</v>
      </c>
      <c r="L10" s="2">
        <v>15000</v>
      </c>
      <c r="M10" s="3">
        <f>+inventariom[[#This Row],[Precio de venta]]-inventariom[[#This Row],[Total Frasco]]</f>
        <v>6920</v>
      </c>
      <c r="N10" s="2">
        <f>+inventariom[[#This Row],[Ganancia x frasco]]*inventariom[[#This Row],[Cantidad frasco]]</f>
        <v>49428.571428571435</v>
      </c>
      <c r="O10">
        <f>+inventariom[[#This Row],[Stock Gramos]]</f>
        <v>100</v>
      </c>
      <c r="P10">
        <f>+SUMIF(ventasm[Codigo],inventariom[[#This Row],[Codigo]],ventasm[Gramos Vendidos])</f>
        <v>102</v>
      </c>
      <c r="Q10">
        <f>+inventariom[[#This Row],[Gramos en Stock]]-inventariom[[#This Row],[Gramos vendidos]]</f>
        <v>-2</v>
      </c>
      <c r="R10" s="12">
        <f>+inventariom[[#This Row],[Gramos actuales]]/14</f>
        <v>-0.14285714285714285</v>
      </c>
    </row>
    <row r="11" spans="1:18">
      <c r="B11" t="s">
        <v>77</v>
      </c>
      <c r="C11" t="s">
        <v>90</v>
      </c>
      <c r="D11">
        <v>100</v>
      </c>
      <c r="E11" s="12">
        <f t="shared" si="0"/>
        <v>7.1428571428571432</v>
      </c>
      <c r="F11" s="8">
        <v>260</v>
      </c>
      <c r="G11" s="2">
        <f>+inventariom[[#This Row],[Costo de F]]*14</f>
        <v>3640</v>
      </c>
      <c r="H11" s="17">
        <v>2100</v>
      </c>
      <c r="I11" s="17">
        <v>500</v>
      </c>
      <c r="J11" s="2">
        <v>1000</v>
      </c>
      <c r="K11" s="3">
        <f>+inventariom[[#This Row],[Costo x frasco]]+inventariom[[#This Row],[Costo Envase]]+inventariom[[#This Row],[Costo alchool]]+inventariom[[#This Row],[Costo logistico]]</f>
        <v>7240</v>
      </c>
      <c r="L11" s="2">
        <v>15000</v>
      </c>
      <c r="M11" s="3">
        <f>+inventariom[[#This Row],[Precio de venta]]-inventariom[[#This Row],[Total Frasco]]</f>
        <v>7760</v>
      </c>
      <c r="N11" s="2">
        <f>+inventariom[[#This Row],[Ganancia x frasco]]*inventariom[[#This Row],[Cantidad frasco]]</f>
        <v>55428.571428571435</v>
      </c>
      <c r="O11">
        <f>+inventariom[[#This Row],[Stock Gramos]]</f>
        <v>100</v>
      </c>
      <c r="P11">
        <f>+SUMIF(ventasm[Codigo],inventariom[[#This Row],[Codigo]],ventasm[Gramos Vendidos])</f>
        <v>30</v>
      </c>
      <c r="Q11">
        <f>+inventariom[[#This Row],[Gramos en Stock]]-inventariom[[#This Row],[Gramos vendidos]]</f>
        <v>70</v>
      </c>
      <c r="R11" s="12">
        <f>+inventariom[[#This Row],[Gramos actuales]]/14</f>
        <v>5</v>
      </c>
    </row>
    <row r="12" spans="1:18">
      <c r="B12" t="s">
        <v>78</v>
      </c>
      <c r="C12" s="30" t="s">
        <v>75</v>
      </c>
      <c r="D12">
        <v>190</v>
      </c>
      <c r="E12" s="12">
        <f t="shared" ref="E12:E14" si="1">+D12/14</f>
        <v>13.571428571428571</v>
      </c>
      <c r="F12" s="8">
        <v>290</v>
      </c>
      <c r="G12" s="2">
        <f>+inventariom[[#This Row],[Costo de F]]*14</f>
        <v>4060</v>
      </c>
      <c r="H12" s="17">
        <v>2100</v>
      </c>
      <c r="I12" s="17">
        <v>500</v>
      </c>
      <c r="J12" s="2">
        <v>1000</v>
      </c>
      <c r="K12" s="3">
        <f>+inventariom[[#This Row],[Costo x frasco]]+inventariom[[#This Row],[Costo Envase]]+inventariom[[#This Row],[Costo alchool]]+inventariom[[#This Row],[Costo logistico]]</f>
        <v>7660</v>
      </c>
      <c r="L12" s="2">
        <v>15000</v>
      </c>
      <c r="M12" s="3">
        <f>+inventariom[[#This Row],[Precio de venta]]-inventariom[[#This Row],[Total Frasco]]</f>
        <v>7340</v>
      </c>
      <c r="N12" s="2">
        <f>+inventariom[[#This Row],[Ganancia x frasco]]*inventariom[[#This Row],[Cantidad frasco]]</f>
        <v>99614.28571428571</v>
      </c>
      <c r="O12">
        <f>+inventariom[[#This Row],[Stock Gramos]]</f>
        <v>190</v>
      </c>
      <c r="P12">
        <f>+SUMIF(ventasm[Codigo],inventariom[[#This Row],[Codigo]],ventasm[Gramos Vendidos])</f>
        <v>152</v>
      </c>
      <c r="Q12">
        <f>+inventariom[[#This Row],[Gramos en Stock]]-inventariom[[#This Row],[Gramos vendidos]]</f>
        <v>38</v>
      </c>
      <c r="R12" s="12">
        <f>+inventariom[[#This Row],[Gramos actuales]]/14</f>
        <v>2.7142857142857144</v>
      </c>
    </row>
    <row r="13" spans="1:18">
      <c r="B13" t="s">
        <v>79</v>
      </c>
      <c r="C13" t="s">
        <v>82</v>
      </c>
      <c r="D13">
        <v>100</v>
      </c>
      <c r="E13" s="12">
        <f t="shared" si="1"/>
        <v>7.1428571428571432</v>
      </c>
      <c r="F13" s="8">
        <v>390</v>
      </c>
      <c r="G13" s="2">
        <f>+inventariom[[#This Row],[Costo de F]]*14</f>
        <v>5460</v>
      </c>
      <c r="H13" s="17">
        <v>2100</v>
      </c>
      <c r="I13" s="17">
        <v>500</v>
      </c>
      <c r="J13" s="2">
        <v>1000</v>
      </c>
      <c r="K13" s="3">
        <f>+inventariom[[#This Row],[Costo x frasco]]+inventariom[[#This Row],[Costo Envase]]+inventariom[[#This Row],[Costo alchool]]+inventariom[[#This Row],[Costo logistico]]</f>
        <v>9060</v>
      </c>
      <c r="L13" s="2">
        <v>15000</v>
      </c>
      <c r="M13" s="3">
        <f>+inventariom[[#This Row],[Precio de venta]]-inventariom[[#This Row],[Total Frasco]]</f>
        <v>5940</v>
      </c>
      <c r="N13" s="2">
        <f>+inventariom[[#This Row],[Ganancia x frasco]]*inventariom[[#This Row],[Cantidad frasco]]</f>
        <v>42428.571428571428</v>
      </c>
      <c r="O13">
        <f>+inventariom[[#This Row],[Stock Gramos]]</f>
        <v>100</v>
      </c>
      <c r="P13">
        <f>+SUMIF(ventasm[Codigo],inventariom[[#This Row],[Codigo]],ventasm[Gramos Vendidos])</f>
        <v>41</v>
      </c>
      <c r="Q13">
        <f>+inventariom[[#This Row],[Gramos en Stock]]-inventariom[[#This Row],[Gramos vendidos]]</f>
        <v>59</v>
      </c>
      <c r="R13" s="12">
        <f>+inventariom[[#This Row],[Gramos actuales]]/14</f>
        <v>4.2142857142857144</v>
      </c>
    </row>
    <row r="14" spans="1:18">
      <c r="B14" t="s">
        <v>80</v>
      </c>
      <c r="C14" s="25" t="s">
        <v>87</v>
      </c>
      <c r="D14">
        <v>200</v>
      </c>
      <c r="E14" s="12">
        <f t="shared" si="1"/>
        <v>14.285714285714286</v>
      </c>
      <c r="F14" s="8">
        <v>280</v>
      </c>
      <c r="G14" s="2">
        <f>+inventariom[[#This Row],[Costo de F]]*14</f>
        <v>3920</v>
      </c>
      <c r="H14" s="17">
        <v>2100</v>
      </c>
      <c r="I14" s="17">
        <v>500</v>
      </c>
      <c r="J14" s="2">
        <v>1000</v>
      </c>
      <c r="K14" s="3">
        <f>+inventariom[[#This Row],[Costo x frasco]]+inventariom[[#This Row],[Costo Envase]]+inventariom[[#This Row],[Costo alchool]]+inventariom[[#This Row],[Costo logistico]]</f>
        <v>7520</v>
      </c>
      <c r="L14" s="2">
        <v>15000</v>
      </c>
      <c r="M14" s="3">
        <f>+inventariom[[#This Row],[Precio de venta]]-inventariom[[#This Row],[Total Frasco]]</f>
        <v>7480</v>
      </c>
      <c r="N14" s="2">
        <f>+inventariom[[#This Row],[Ganancia x frasco]]*inventariom[[#This Row],[Cantidad frasco]]</f>
        <v>106857.14285714287</v>
      </c>
      <c r="O14">
        <f>+inventariom[[#This Row],[Stock Gramos]]</f>
        <v>200</v>
      </c>
      <c r="P14">
        <f>+SUMIF(ventasm[Codigo],inventariom[[#This Row],[Codigo]],ventasm[Gramos Vendidos])</f>
        <v>198</v>
      </c>
      <c r="Q14">
        <f>+inventariom[[#This Row],[Gramos en Stock]]-inventariom[[#This Row],[Gramos vendidos]]</f>
        <v>2</v>
      </c>
      <c r="R14" s="12">
        <f>+inventariom[[#This Row],[Gramos actuales]]/14</f>
        <v>0.14285714285714285</v>
      </c>
    </row>
    <row r="15" spans="1:18">
      <c r="B15" t="s">
        <v>86</v>
      </c>
      <c r="C15" t="s">
        <v>88</v>
      </c>
      <c r="D15">
        <v>190</v>
      </c>
      <c r="E15" s="12">
        <f>+D15/14</f>
        <v>13.571428571428571</v>
      </c>
      <c r="F15" s="8">
        <v>390</v>
      </c>
      <c r="G15" s="2">
        <f>+inventariom[[#This Row],[Costo de F]]*14</f>
        <v>5460</v>
      </c>
      <c r="H15" s="17">
        <v>2100</v>
      </c>
      <c r="I15" s="17">
        <v>500</v>
      </c>
      <c r="J15" s="2">
        <v>1000</v>
      </c>
      <c r="K15" s="3">
        <f>+inventariom[[#This Row],[Costo x frasco]]+inventariom[[#This Row],[Costo Envase]]+inventariom[[#This Row],[Costo alchool]]+inventariom[[#This Row],[Costo logistico]]</f>
        <v>9060</v>
      </c>
      <c r="L15" s="2">
        <v>15000</v>
      </c>
      <c r="M15" s="3">
        <f>+inventariom[[#This Row],[Precio de venta]]-inventariom[[#This Row],[Total Frasco]]</f>
        <v>5940</v>
      </c>
      <c r="N15" s="2">
        <f>+inventariom[[#This Row],[Ganancia x frasco]]*inventariom[[#This Row],[Cantidad frasco]]</f>
        <v>80614.28571428571</v>
      </c>
      <c r="O15">
        <f>+inventariom[[#This Row],[Stock Gramos]]</f>
        <v>190</v>
      </c>
      <c r="P15">
        <f>+SUMIF(ventasm[Codigo],inventariom[[#This Row],[Codigo]],ventasm[Gramos Vendidos])</f>
        <v>141</v>
      </c>
      <c r="Q15">
        <f>+inventariom[[#This Row],[Gramos en Stock]]-inventariom[[#This Row],[Gramos vendidos]]</f>
        <v>49</v>
      </c>
      <c r="R15" s="12">
        <f>+inventariom[[#This Row],[Gramos actuales]]/14</f>
        <v>3.5</v>
      </c>
    </row>
    <row r="16" spans="1:18">
      <c r="B16" t="s">
        <v>95</v>
      </c>
      <c r="C16" t="s">
        <v>96</v>
      </c>
      <c r="D16">
        <v>100</v>
      </c>
      <c r="E16" s="12">
        <f t="shared" ref="E16:E17" si="2">+D16/14</f>
        <v>7.1428571428571432</v>
      </c>
      <c r="F16" s="8">
        <v>280</v>
      </c>
      <c r="G16" s="2">
        <f>+inventariom[[#This Row],[Costo de F]]*14</f>
        <v>3920</v>
      </c>
      <c r="H16" s="17">
        <v>2100</v>
      </c>
      <c r="I16" s="17">
        <v>500</v>
      </c>
      <c r="J16" s="2">
        <v>1000</v>
      </c>
      <c r="K16" s="3">
        <f>+inventariom[[#This Row],[Costo x frasco]]+inventariom[[#This Row],[Costo Envase]]+inventariom[[#This Row],[Costo alchool]]+inventariom[[#This Row],[Costo logistico]]</f>
        <v>7520</v>
      </c>
      <c r="L16" s="2">
        <v>15000</v>
      </c>
      <c r="M16" s="3">
        <f>+inventariom[[#This Row],[Precio de venta]]-inventariom[[#This Row],[Total Frasco]]</f>
        <v>7480</v>
      </c>
      <c r="N16" s="2">
        <f>+inventariom[[#This Row],[Ganancia x frasco]]*inventariom[[#This Row],[Cantidad frasco]]</f>
        <v>53428.571428571435</v>
      </c>
      <c r="O16">
        <f>+inventariom[[#This Row],[Stock Gramos]]</f>
        <v>100</v>
      </c>
      <c r="P16">
        <f>+SUMIF(ventasm[Codigo],inventariom[[#This Row],[Codigo]],ventasm[Gramos Vendidos])</f>
        <v>44</v>
      </c>
      <c r="Q16">
        <f>+inventariom[[#This Row],[Gramos en Stock]]-inventariom[[#This Row],[Gramos vendidos]]</f>
        <v>56</v>
      </c>
      <c r="R16" s="12">
        <f>+inventariom[[#This Row],[Gramos actuales]]/14</f>
        <v>4</v>
      </c>
    </row>
    <row r="17" spans="2:18">
      <c r="B17" t="s">
        <v>98</v>
      </c>
      <c r="C17" t="s">
        <v>99</v>
      </c>
      <c r="D17">
        <v>199</v>
      </c>
      <c r="E17" s="12">
        <f t="shared" si="2"/>
        <v>14.214285714285714</v>
      </c>
      <c r="F17" s="8">
        <v>260</v>
      </c>
      <c r="G17" s="2">
        <f>+inventariom[[#This Row],[Costo de F]]*14</f>
        <v>3640</v>
      </c>
      <c r="H17" s="17">
        <v>2100</v>
      </c>
      <c r="I17" s="17">
        <v>500</v>
      </c>
      <c r="J17" s="2">
        <v>1000</v>
      </c>
      <c r="K17" s="3">
        <f>+inventariom[[#This Row],[Costo x frasco]]+inventariom[[#This Row],[Costo Envase]]+inventariom[[#This Row],[Costo alchool]]+inventariom[[#This Row],[Costo logistico]]</f>
        <v>7240</v>
      </c>
      <c r="L17" s="2">
        <v>15000</v>
      </c>
      <c r="M17" s="3">
        <f>+inventariom[[#This Row],[Precio de venta]]-inventariom[[#This Row],[Total Frasco]]</f>
        <v>7760</v>
      </c>
      <c r="N17" s="2">
        <f>+inventariom[[#This Row],[Ganancia x frasco]]*inventariom[[#This Row],[Cantidad frasco]]</f>
        <v>110302.85714285713</v>
      </c>
      <c r="O17">
        <f>+inventariom[[#This Row],[Stock Gramos]]</f>
        <v>199</v>
      </c>
      <c r="P17">
        <f>+SUMIF(ventasm[Codigo],inventariom[[#This Row],[Codigo]],ventasm[Gramos Vendidos])</f>
        <v>184</v>
      </c>
      <c r="Q17">
        <f>+inventariom[[#This Row],[Gramos en Stock]]-inventariom[[#This Row],[Gramos vendidos]]</f>
        <v>15</v>
      </c>
      <c r="R17" s="12">
        <f>+inventariom[[#This Row],[Gramos actuales]]/14</f>
        <v>1.0714285714285714</v>
      </c>
    </row>
    <row r="18" spans="2:18">
      <c r="B18" t="s">
        <v>104</v>
      </c>
      <c r="C18" s="25" t="s">
        <v>105</v>
      </c>
      <c r="D18">
        <v>100</v>
      </c>
      <c r="E18" s="12">
        <f t="shared" ref="E18:E19" si="3">+D18/14</f>
        <v>7.1428571428571432</v>
      </c>
      <c r="F18" s="1">
        <v>360</v>
      </c>
      <c r="G18" s="2">
        <f>+inventariom[[#This Row],[Costo de F]]*14</f>
        <v>5040</v>
      </c>
      <c r="H18" s="17">
        <v>2100</v>
      </c>
      <c r="I18" s="17">
        <v>500</v>
      </c>
      <c r="J18" s="2">
        <v>1000</v>
      </c>
      <c r="K18" s="3">
        <f>+inventariom[[#This Row],[Costo x frasco]]+inventariom[[#This Row],[Costo Envase]]+inventariom[[#This Row],[Costo alchool]]+inventariom[[#This Row],[Costo logistico]]</f>
        <v>8640</v>
      </c>
      <c r="L18" s="2">
        <v>15000</v>
      </c>
      <c r="M18" s="3">
        <f>+inventariom[[#This Row],[Precio de venta]]-inventariom[[#This Row],[Total Frasco]]</f>
        <v>6360</v>
      </c>
      <c r="N18" s="2">
        <f>+inventariom[[#This Row],[Ganancia x frasco]]*inventariom[[#This Row],[Cantidad frasco]]</f>
        <v>45428.571428571428</v>
      </c>
      <c r="O18">
        <f>+inventariom[[#This Row],[Stock Gramos]]</f>
        <v>100</v>
      </c>
      <c r="P18">
        <f>+SUMIF(ventasm[Codigo],inventariom[[#This Row],[Codigo]],ventasm[Gramos Vendidos])</f>
        <v>100</v>
      </c>
      <c r="Q18">
        <f>+inventariom[[#This Row],[Gramos en Stock]]-inventariom[[#This Row],[Gramos vendidos]]</f>
        <v>0</v>
      </c>
      <c r="R18" s="12">
        <f>+inventariom[[#This Row],[Gramos actuales]]/14</f>
        <v>0</v>
      </c>
    </row>
    <row r="19" spans="2:18">
      <c r="B19" t="s">
        <v>109</v>
      </c>
      <c r="C19" t="s">
        <v>112</v>
      </c>
      <c r="D19">
        <v>98</v>
      </c>
      <c r="E19">
        <f t="shared" si="3"/>
        <v>7</v>
      </c>
      <c r="F19" s="8">
        <v>260</v>
      </c>
      <c r="G19" s="2">
        <f>+inventariom[[#This Row],[Costo de F]]*14</f>
        <v>3640</v>
      </c>
      <c r="H19" s="17">
        <v>2100</v>
      </c>
      <c r="I19" s="17">
        <v>500</v>
      </c>
      <c r="J19" s="2">
        <v>1000</v>
      </c>
      <c r="K19" s="17">
        <f>+inventariom[[#This Row],[Costo x frasco]]+inventariom[[#This Row],[Costo Envase]]+inventariom[[#This Row],[Costo alchool]]+inventariom[[#This Row],[Costo logistico]]</f>
        <v>7240</v>
      </c>
      <c r="L19" s="2">
        <v>15000</v>
      </c>
      <c r="M19" s="3">
        <f>+inventariom[[#This Row],[Precio de venta]]-inventariom[[#This Row],[Total Frasco]]</f>
        <v>7760</v>
      </c>
      <c r="N19" s="2">
        <f>+inventariom[[#This Row],[Ganancia x frasco]]*inventariom[[#This Row],[Cantidad frasco]]</f>
        <v>54320</v>
      </c>
      <c r="O19">
        <f>+inventariom[[#This Row],[Stock Gramos]]</f>
        <v>98</v>
      </c>
      <c r="P19">
        <f>+SUMIF(ventasm[Codigo],inventariom[[#This Row],[Codigo]],ventasm[Gramos Vendidos])</f>
        <v>86</v>
      </c>
      <c r="Q19">
        <f>+inventariom[[#This Row],[Gramos en Stock]]-inventariom[[#This Row],[Gramos vendidos]]</f>
        <v>12</v>
      </c>
      <c r="R19" s="12">
        <f>+inventariom[[#This Row],[Gramos actuales]]/14</f>
        <v>0.8571428571428571</v>
      </c>
    </row>
    <row r="20" spans="2:18">
      <c r="B20" t="s">
        <v>128</v>
      </c>
      <c r="C20" s="25" t="s">
        <v>129</v>
      </c>
      <c r="D20">
        <v>495</v>
      </c>
      <c r="E20" s="12">
        <f t="shared" ref="E20:E21" si="4">+D20/14</f>
        <v>35.357142857142854</v>
      </c>
      <c r="F20" s="8">
        <v>260</v>
      </c>
      <c r="G20" s="2">
        <f>+inventariom[[#This Row],[Costo de F]]*14</f>
        <v>3640</v>
      </c>
      <c r="H20" s="17">
        <v>2100</v>
      </c>
      <c r="I20" s="17">
        <v>500</v>
      </c>
      <c r="J20" s="2">
        <v>1000</v>
      </c>
      <c r="K20" s="3">
        <f>+inventariom[[#This Row],[Costo x frasco]]+inventariom[[#This Row],[Costo Envase]]+inventariom[[#This Row],[Costo alchool]]+inventariom[[#This Row],[Costo logistico]]</f>
        <v>7240</v>
      </c>
      <c r="L20" s="2">
        <v>15000</v>
      </c>
      <c r="M20" s="3">
        <f>+inventariom[[#This Row],[Precio de venta]]-inventariom[[#This Row],[Total Frasco]]</f>
        <v>7760</v>
      </c>
      <c r="N20" s="2">
        <f>+inventariom[[#This Row],[Ganancia x frasco]]*inventariom[[#This Row],[Cantidad frasco]]</f>
        <v>274371.42857142852</v>
      </c>
      <c r="O20">
        <f>+inventariom[[#This Row],[Stock Gramos]]</f>
        <v>495</v>
      </c>
      <c r="P20">
        <f>+SUMIF(ventasm[Codigo],inventariom[[#This Row],[Codigo]],ventasm[Gramos Vendidos])</f>
        <v>455</v>
      </c>
      <c r="Q20">
        <f>+inventariom[[#This Row],[Gramos en Stock]]-inventariom[[#This Row],[Gramos vendidos]]</f>
        <v>40</v>
      </c>
      <c r="R20" s="12">
        <f>+inventariom[[#This Row],[Gramos actuales]]/14</f>
        <v>2.8571428571428572</v>
      </c>
    </row>
    <row r="21" spans="2:18">
      <c r="B21" t="s">
        <v>132</v>
      </c>
      <c r="C21" t="s">
        <v>131</v>
      </c>
      <c r="D21">
        <v>196</v>
      </c>
      <c r="E21">
        <f t="shared" si="4"/>
        <v>14</v>
      </c>
      <c r="F21" s="8">
        <v>300</v>
      </c>
      <c r="G21" s="2">
        <f>+inventariom[[#This Row],[Costo de F]]*14</f>
        <v>4200</v>
      </c>
      <c r="H21" s="17">
        <v>2100</v>
      </c>
      <c r="I21" s="17">
        <v>500</v>
      </c>
      <c r="J21" s="2">
        <v>1000</v>
      </c>
      <c r="K21" s="3">
        <f>+inventariom[[#This Row],[Costo x frasco]]+inventariom[[#This Row],[Costo Envase]]+inventariom[[#This Row],[Costo alchool]]+inventariom[[#This Row],[Costo logistico]]</f>
        <v>7800</v>
      </c>
      <c r="L21" s="2">
        <v>15000</v>
      </c>
      <c r="M21" s="3">
        <f>+inventariom[[#This Row],[Precio de venta]]-inventariom[[#This Row],[Total Frasco]]</f>
        <v>7200</v>
      </c>
      <c r="N21" s="2">
        <f>+inventariom[[#This Row],[Ganancia x frasco]]*inventariom[[#This Row],[Cantidad frasco]]</f>
        <v>100800</v>
      </c>
      <c r="O21">
        <f>+inventariom[[#This Row],[Stock Gramos]]</f>
        <v>196</v>
      </c>
      <c r="P21">
        <f>+SUMIF(ventasm[Codigo],inventariom[[#This Row],[Codigo]],ventasm[Gramos Vendidos])</f>
        <v>140</v>
      </c>
      <c r="Q21">
        <f>+inventariom[[#This Row],[Gramos en Stock]]-inventariom[[#This Row],[Gramos vendidos]]</f>
        <v>56</v>
      </c>
      <c r="R21" s="12">
        <f>+inventariom[[#This Row],[Gramos actuales]]/14</f>
        <v>4</v>
      </c>
    </row>
    <row r="22" spans="2:18">
      <c r="B22" t="s">
        <v>139</v>
      </c>
      <c r="C22" t="s">
        <v>137</v>
      </c>
      <c r="D22">
        <v>98</v>
      </c>
      <c r="E22">
        <f t="shared" ref="E22:E27" si="5">+D22/14</f>
        <v>7</v>
      </c>
      <c r="F22" s="8">
        <v>330</v>
      </c>
      <c r="G22" s="2">
        <f>+inventariom[[#This Row],[Costo de F]]*14</f>
        <v>4620</v>
      </c>
      <c r="H22" s="17">
        <v>1200</v>
      </c>
      <c r="I22" s="17">
        <v>500</v>
      </c>
      <c r="J22" s="2">
        <v>1000</v>
      </c>
      <c r="K22" s="3">
        <f>+inventariom[[#This Row],[Costo x frasco]]+inventariom[[#This Row],[Costo Envase]]+inventariom[[#This Row],[Costo alchool]]+inventariom[[#This Row],[Costo logistico]]</f>
        <v>7320</v>
      </c>
      <c r="L22" s="2">
        <v>10000</v>
      </c>
      <c r="M22" s="3">
        <f>+inventariom[[#This Row],[Precio de venta]]-inventariom[[#This Row],[Total Frasco]]</f>
        <v>2680</v>
      </c>
      <c r="N22" s="2">
        <f>+inventariom[[#This Row],[Ganancia x frasco]]*inventariom[[#This Row],[Cantidad frasco]]</f>
        <v>18760</v>
      </c>
      <c r="O22">
        <f>+inventariom[[#This Row],[Stock Gramos]]</f>
        <v>98</v>
      </c>
      <c r="P22">
        <f>+SUMIF(ventasm[Codigo],inventariom[[#This Row],[Codigo]],ventasm[Gramos Vendidos])</f>
        <v>26</v>
      </c>
      <c r="Q22">
        <f>+inventariom[[#This Row],[Gramos en Stock]]-inventariom[[#This Row],[Gramos vendidos]]</f>
        <v>72</v>
      </c>
      <c r="R22" s="12">
        <f>+inventariom[[#This Row],[Gramos actuales]]/14</f>
        <v>5.1428571428571432</v>
      </c>
    </row>
    <row r="23" spans="2:18">
      <c r="B23" t="s">
        <v>140</v>
      </c>
      <c r="C23" t="s">
        <v>141</v>
      </c>
      <c r="D23">
        <v>298</v>
      </c>
      <c r="E23" s="12">
        <f t="shared" si="5"/>
        <v>21.285714285714285</v>
      </c>
      <c r="F23" s="8">
        <v>260</v>
      </c>
      <c r="G23" s="2">
        <f>+inventariom[[#This Row],[Costo de F]]*14</f>
        <v>3640</v>
      </c>
      <c r="H23" s="17">
        <v>1200</v>
      </c>
      <c r="I23" s="17">
        <v>500</v>
      </c>
      <c r="J23" s="2">
        <v>1000</v>
      </c>
      <c r="K23" s="3">
        <f>+inventariom[[#This Row],[Costo x frasco]]+inventariom[[#This Row],[Costo Envase]]+inventariom[[#This Row],[Costo alchool]]+inventariom[[#This Row],[Costo logistico]]</f>
        <v>6340</v>
      </c>
      <c r="L23" s="2">
        <v>10000</v>
      </c>
      <c r="M23" s="3">
        <f>+inventariom[[#This Row],[Precio de venta]]-inventariom[[#This Row],[Total Frasco]]</f>
        <v>3660</v>
      </c>
      <c r="N23" s="2">
        <f>+inventariom[[#This Row],[Ganancia x frasco]]*inventariom[[#This Row],[Cantidad frasco]]</f>
        <v>77905.714285714275</v>
      </c>
      <c r="O23">
        <f>+inventariom[[#This Row],[Stock Gramos]]</f>
        <v>298</v>
      </c>
      <c r="P23">
        <f>+SUMIF(ventasm[Codigo],inventariom[[#This Row],[Codigo]],ventasm[Gramos Vendidos])</f>
        <v>264</v>
      </c>
      <c r="Q23">
        <f>+inventariom[[#This Row],[Gramos en Stock]]-inventariom[[#This Row],[Gramos vendidos]]</f>
        <v>34</v>
      </c>
      <c r="R23" s="12">
        <f>+inventariom[[#This Row],[Gramos actuales]]/14</f>
        <v>2.4285714285714284</v>
      </c>
    </row>
    <row r="24" spans="2:18">
      <c r="B24" t="s">
        <v>153</v>
      </c>
      <c r="C24" t="s">
        <v>154</v>
      </c>
      <c r="D24">
        <v>200</v>
      </c>
      <c r="E24" s="12">
        <f t="shared" si="5"/>
        <v>14.285714285714286</v>
      </c>
      <c r="F24" s="8">
        <v>340</v>
      </c>
      <c r="G24" s="2">
        <f>+inventariom[[#This Row],[Costo de F]]*14</f>
        <v>4760</v>
      </c>
      <c r="H24" s="17">
        <v>1200</v>
      </c>
      <c r="I24" s="17">
        <v>500</v>
      </c>
      <c r="J24" s="2">
        <v>1000</v>
      </c>
      <c r="K24" s="3">
        <f>+inventariom[[#This Row],[Costo x frasco]]+inventariom[[#This Row],[Costo Envase]]+inventariom[[#This Row],[Costo alchool]]+inventariom[[#This Row],[Costo logistico]]</f>
        <v>7460</v>
      </c>
      <c r="L24" s="2">
        <v>10000</v>
      </c>
      <c r="M24" s="3">
        <f>+inventariom[[#This Row],[Precio de venta]]-inventariom[[#This Row],[Total Frasco]]</f>
        <v>2540</v>
      </c>
      <c r="N24" s="2">
        <f>+inventariom[[#This Row],[Ganancia x frasco]]*inventariom[[#This Row],[Cantidad frasco]]</f>
        <v>36285.71428571429</v>
      </c>
      <c r="O24">
        <f>+inventariom[[#This Row],[Stock Gramos]]</f>
        <v>200</v>
      </c>
      <c r="P24">
        <f>+SUMIF(ventasm[Codigo],inventariom[[#This Row],[Codigo]],ventasm[Gramos Vendidos])</f>
        <v>139</v>
      </c>
      <c r="Q24">
        <f>+inventariom[[#This Row],[Gramos en Stock]]-inventariom[[#This Row],[Gramos vendidos]]</f>
        <v>61</v>
      </c>
      <c r="R24" s="12">
        <f>+inventariom[[#This Row],[Gramos actuales]]/14</f>
        <v>4.3571428571428568</v>
      </c>
    </row>
    <row r="25" spans="2:18">
      <c r="E25">
        <f t="shared" si="5"/>
        <v>0</v>
      </c>
      <c r="G25">
        <f>+inventariom[[#This Row],[Costo de F]]*14</f>
        <v>0</v>
      </c>
      <c r="K25" s="3">
        <f>+inventariom[[#This Row],[Costo x frasco]]+inventariom[[#This Row],[Costo Envase]]+inventariom[[#This Row],[Costo alchool]]+inventariom[[#This Row],[Costo logistico]]</f>
        <v>0</v>
      </c>
      <c r="M25" s="3">
        <f>+inventariom[[#This Row],[Precio de venta]]-inventariom[[#This Row],[Total Frasco]]</f>
        <v>0</v>
      </c>
      <c r="N25">
        <f>+inventariom[[#This Row],[Ganancia x frasco]]*inventariom[[#This Row],[Cantidad frasco]]</f>
        <v>0</v>
      </c>
      <c r="O25">
        <f>+inventariom[[#This Row],[Stock Gramos]]</f>
        <v>0</v>
      </c>
      <c r="P25">
        <f>+SUMIF(ventasm[Codigo],inventariom[[#This Row],[Codigo]],ventasm[Gramos Vendidos])</f>
        <v>0</v>
      </c>
      <c r="Q25">
        <f>+inventariom[[#This Row],[Gramos en Stock]]-inventariom[[#This Row],[Gramos vendidos]]</f>
        <v>0</v>
      </c>
      <c r="R25">
        <f>+inventariom[[#This Row],[Gramos actuales]]/14</f>
        <v>0</v>
      </c>
    </row>
    <row r="26" spans="2:18">
      <c r="E26">
        <f t="shared" si="5"/>
        <v>0</v>
      </c>
      <c r="G26">
        <f>+inventariom[[#This Row],[Costo de F]]*14</f>
        <v>0</v>
      </c>
      <c r="K26" s="3">
        <f>+inventariom[[#This Row],[Costo x frasco]]+inventariom[[#This Row],[Costo Envase]]+inventariom[[#This Row],[Costo alchool]]+inventariom[[#This Row],[Costo logistico]]</f>
        <v>0</v>
      </c>
      <c r="M26" s="3">
        <f>+inventariom[[#This Row],[Precio de venta]]-inventariom[[#This Row],[Total Frasco]]</f>
        <v>0</v>
      </c>
      <c r="N26">
        <f>+inventariom[[#This Row],[Ganancia x frasco]]*inventariom[[#This Row],[Cantidad frasco]]</f>
        <v>0</v>
      </c>
      <c r="O26">
        <f>+inventariom[[#This Row],[Stock Gramos]]</f>
        <v>0</v>
      </c>
      <c r="P26">
        <f>+SUMIF(ventasm[Codigo],inventariom[[#This Row],[Codigo]],ventasm[Gramos Vendidos])</f>
        <v>0</v>
      </c>
      <c r="Q26">
        <f>+inventariom[[#This Row],[Gramos en Stock]]-inventariom[[#This Row],[Gramos vendidos]]</f>
        <v>0</v>
      </c>
      <c r="R26">
        <f>+inventariom[[#This Row],[Gramos actuales]]/14</f>
        <v>0</v>
      </c>
    </row>
    <row r="27" spans="2:18">
      <c r="E27">
        <f t="shared" si="5"/>
        <v>0</v>
      </c>
      <c r="G27">
        <f>+inventariom[[#This Row],[Costo de F]]*14</f>
        <v>0</v>
      </c>
      <c r="K27" s="3">
        <f>+inventariom[[#This Row],[Costo x frasco]]+inventariom[[#This Row],[Costo Envase]]+inventariom[[#This Row],[Costo alchool]]+inventariom[[#This Row],[Costo logistico]]</f>
        <v>0</v>
      </c>
      <c r="M27" s="3">
        <f>+inventariom[[#This Row],[Precio de venta]]-inventariom[[#This Row],[Total Frasco]]</f>
        <v>0</v>
      </c>
      <c r="N27">
        <f>+inventariom[[#This Row],[Ganancia x frasco]]*inventariom[[#This Row],[Cantidad frasco]]</f>
        <v>0</v>
      </c>
      <c r="O27">
        <f>+inventariom[[#This Row],[Stock Gramos]]</f>
        <v>0</v>
      </c>
      <c r="P27">
        <f>+SUMIF(ventasm[Codigo],inventariom[[#This Row],[Codigo]],ventasm[Gramos Vendidos])</f>
        <v>0</v>
      </c>
      <c r="Q27">
        <f>+inventariom[[#This Row],[Gramos en Stock]]-inventariom[[#This Row],[Gramos vendidos]]</f>
        <v>0</v>
      </c>
      <c r="R27">
        <f>+inventariom[[#This Row],[Gramos actuales]]/14</f>
        <v>0</v>
      </c>
    </row>
    <row r="28" spans="2:18">
      <c r="F28" s="12">
        <f>SUBTOTAL(109,inventariom[Costo de F])</f>
        <v>6360</v>
      </c>
      <c r="K28" s="3"/>
      <c r="M28" s="3"/>
    </row>
  </sheetData>
  <mergeCells count="1">
    <mergeCell ref="A1:J2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F3AE7-3505-4E04-A992-C5C2620F7C7C}">
  <dimension ref="A1:N21"/>
  <sheetViews>
    <sheetView showGridLines="0" tabSelected="1" topLeftCell="A4" zoomScale="89" zoomScaleNormal="89" workbookViewId="0">
      <selection activeCell="B11" sqref="B11"/>
    </sheetView>
  </sheetViews>
  <sheetFormatPr baseColWidth="10" defaultRowHeight="15"/>
  <cols>
    <col min="1" max="1" width="3.28515625" customWidth="1"/>
    <col min="2" max="2" width="19.85546875" customWidth="1"/>
    <col min="3" max="3" width="16.85546875" customWidth="1"/>
    <col min="4" max="4" width="17" bestFit="1" customWidth="1"/>
    <col min="5" max="5" width="15.5703125" customWidth="1"/>
    <col min="6" max="6" width="14.140625" customWidth="1"/>
    <col min="7" max="7" width="19.42578125" customWidth="1"/>
    <col min="8" max="8" width="18" customWidth="1"/>
    <col min="9" max="9" width="11.85546875" customWidth="1"/>
    <col min="10" max="10" width="17.7109375" bestFit="1" customWidth="1"/>
    <col min="11" max="11" width="14.85546875" bestFit="1" customWidth="1"/>
    <col min="14" max="14" width="12.85546875" customWidth="1"/>
  </cols>
  <sheetData>
    <row r="1" spans="1:14" ht="67.5" customHeight="1">
      <c r="B1" s="49" t="s">
        <v>121</v>
      </c>
      <c r="C1" s="49"/>
      <c r="D1" s="49"/>
      <c r="E1" s="49"/>
      <c r="F1" s="49"/>
      <c r="G1" s="49"/>
      <c r="H1" s="49"/>
      <c r="I1" s="49"/>
      <c r="J1" s="49"/>
    </row>
    <row r="2" spans="1:14">
      <c r="A2" s="31"/>
      <c r="B2" s="31"/>
      <c r="C2" s="31"/>
      <c r="D2" s="31"/>
    </row>
    <row r="3" spans="1:14" ht="27" customHeight="1">
      <c r="B3" s="32" t="s">
        <v>0</v>
      </c>
      <c r="C3" s="32" t="s">
        <v>113</v>
      </c>
      <c r="D3" s="32" t="s">
        <v>19</v>
      </c>
      <c r="E3" s="32" t="s">
        <v>114</v>
      </c>
      <c r="F3" s="32" t="s">
        <v>115</v>
      </c>
      <c r="G3" s="32" t="s">
        <v>117</v>
      </c>
      <c r="H3" s="32" t="s">
        <v>21</v>
      </c>
      <c r="I3" s="32" t="s">
        <v>118</v>
      </c>
      <c r="J3" s="32" t="s">
        <v>122</v>
      </c>
      <c r="K3" s="32" t="s">
        <v>130</v>
      </c>
    </row>
    <row r="4" spans="1:14" ht="21.95" customHeight="1">
      <c r="B4" s="40" t="s">
        <v>116</v>
      </c>
      <c r="C4" s="34">
        <f>350*60</f>
        <v>21000</v>
      </c>
      <c r="D4" s="34">
        <v>30000</v>
      </c>
      <c r="E4" s="34">
        <v>2000</v>
      </c>
      <c r="F4" s="34">
        <v>14000</v>
      </c>
      <c r="G4" s="34">
        <f t="shared" ref="G4:G9" si="0">SUM(C4:F4)</f>
        <v>67000</v>
      </c>
      <c r="H4" s="34">
        <v>90000</v>
      </c>
      <c r="I4" s="35">
        <f t="shared" ref="I4:I9" si="1">+H4-G4</f>
        <v>23000</v>
      </c>
      <c r="J4" s="45">
        <f>+Tabla6[[#This Row],[Ganancia]]/Tabla6[[#This Row],[Precio de venta]]*100</f>
        <v>25.555555555555554</v>
      </c>
      <c r="K4" s="38"/>
    </row>
    <row r="5" spans="1:14" ht="21.95" customHeight="1">
      <c r="B5" s="40" t="s">
        <v>171</v>
      </c>
      <c r="C5" s="34">
        <f>360*70</f>
        <v>25200</v>
      </c>
      <c r="D5" s="34">
        <v>30000</v>
      </c>
      <c r="E5" s="34">
        <v>2000</v>
      </c>
      <c r="F5" s="34">
        <v>14000</v>
      </c>
      <c r="G5" s="34">
        <f t="shared" si="0"/>
        <v>71200</v>
      </c>
      <c r="H5" s="34">
        <v>90000</v>
      </c>
      <c r="I5" s="35">
        <f t="shared" si="1"/>
        <v>18800</v>
      </c>
      <c r="J5" s="45">
        <f>+Tabla6[[#This Row],[Ganancia]]/Tabla6[[#This Row],[Precio de venta]]*100</f>
        <v>20.888888888888889</v>
      </c>
      <c r="K5" s="38"/>
    </row>
    <row r="6" spans="1:14" ht="21.95" customHeight="1">
      <c r="B6" s="33" t="s">
        <v>119</v>
      </c>
      <c r="C6" s="34">
        <f>280*50</f>
        <v>14000</v>
      </c>
      <c r="D6" s="34">
        <v>55000</v>
      </c>
      <c r="E6" s="34">
        <v>2000</v>
      </c>
      <c r="F6" s="34">
        <v>14000</v>
      </c>
      <c r="G6" s="34">
        <f t="shared" si="0"/>
        <v>85000</v>
      </c>
      <c r="H6" s="34">
        <v>95000</v>
      </c>
      <c r="I6" s="35">
        <f t="shared" si="1"/>
        <v>10000</v>
      </c>
      <c r="J6" s="45">
        <f>+Tabla6[[#This Row],[Ganancia]]/Tabla6[[#This Row],[Precio de venta]]*100</f>
        <v>10.526315789473683</v>
      </c>
      <c r="K6" s="38"/>
    </row>
    <row r="7" spans="1:14" ht="23.25" customHeight="1">
      <c r="B7" s="33" t="s">
        <v>120</v>
      </c>
      <c r="C7" s="34">
        <f>310*55</f>
        <v>17050</v>
      </c>
      <c r="D7" s="34">
        <v>30000</v>
      </c>
      <c r="E7" s="34">
        <v>2000</v>
      </c>
      <c r="F7" s="34">
        <v>6000</v>
      </c>
      <c r="G7" s="34">
        <f t="shared" si="0"/>
        <v>55050</v>
      </c>
      <c r="H7" s="34">
        <v>70000</v>
      </c>
      <c r="I7" s="35">
        <f t="shared" si="1"/>
        <v>14950</v>
      </c>
      <c r="J7" s="45">
        <f>+Tabla6[[#This Row],[Ganancia]]/Tabla6[[#This Row],[Precio de venta]]*100</f>
        <v>21.357142857142858</v>
      </c>
      <c r="K7" s="38"/>
    </row>
    <row r="8" spans="1:14" ht="21.95" customHeight="1">
      <c r="B8" s="33" t="s">
        <v>127</v>
      </c>
      <c r="C8" s="39">
        <v>14300</v>
      </c>
      <c r="D8" s="39">
        <v>42000</v>
      </c>
      <c r="E8" s="39">
        <v>2000</v>
      </c>
      <c r="F8" s="39">
        <v>5500</v>
      </c>
      <c r="G8" s="34">
        <f t="shared" si="0"/>
        <v>63800</v>
      </c>
      <c r="H8" s="34">
        <v>85000</v>
      </c>
      <c r="I8" s="35">
        <f t="shared" si="1"/>
        <v>21200</v>
      </c>
      <c r="J8" s="45">
        <f>+Tabla6[[#This Row],[Ganancia]]/Tabla6[[#This Row],[Precio de venta]]*100</f>
        <v>24.941176470588236</v>
      </c>
      <c r="K8" s="38"/>
      <c r="N8" t="s">
        <v>147</v>
      </c>
    </row>
    <row r="9" spans="1:14" ht="24.75" customHeight="1">
      <c r="B9" s="40" t="s">
        <v>134</v>
      </c>
      <c r="C9" s="34">
        <v>16500</v>
      </c>
      <c r="D9" s="34">
        <v>45000</v>
      </c>
      <c r="E9" s="34">
        <v>2000</v>
      </c>
      <c r="F9" s="34">
        <v>11000</v>
      </c>
      <c r="G9" s="34">
        <f t="shared" si="0"/>
        <v>74500</v>
      </c>
      <c r="H9" s="34">
        <v>100000</v>
      </c>
      <c r="I9" s="35">
        <f t="shared" si="1"/>
        <v>25500</v>
      </c>
      <c r="J9" s="45">
        <f>+Tabla6[[#This Row],[Ganancia]]/Tabla6[[#This Row],[Precio de venta]]*100</f>
        <v>25.5</v>
      </c>
      <c r="K9" s="38"/>
    </row>
    <row r="10" spans="1:14" ht="24.75" customHeight="1">
      <c r="B10" s="33" t="s">
        <v>144</v>
      </c>
      <c r="C10" s="34">
        <v>14750</v>
      </c>
      <c r="D10" s="34">
        <v>22000</v>
      </c>
      <c r="E10" s="34">
        <v>2000</v>
      </c>
      <c r="F10" s="34">
        <v>5500</v>
      </c>
      <c r="G10" s="34">
        <f t="shared" ref="G10:G15" si="2">SUM(C10:F10)</f>
        <v>44250</v>
      </c>
      <c r="H10" s="34">
        <v>75000</v>
      </c>
      <c r="I10" s="35">
        <f t="shared" ref="I10:I15" si="3">+H10-G10</f>
        <v>30750</v>
      </c>
      <c r="J10" s="45">
        <f>+Tabla6[[#This Row],[Ganancia]]/Tabla6[[#This Row],[Precio de venta]]*100</f>
        <v>41</v>
      </c>
      <c r="K10" s="38"/>
    </row>
    <row r="11" spans="1:14" ht="24.75" customHeight="1">
      <c r="B11" s="40" t="s">
        <v>138</v>
      </c>
      <c r="C11" s="34">
        <f>260*60</f>
        <v>15600</v>
      </c>
      <c r="D11" s="34">
        <v>35000</v>
      </c>
      <c r="E11" s="34">
        <v>2000</v>
      </c>
      <c r="F11" s="34">
        <v>5500</v>
      </c>
      <c r="G11" s="34">
        <f t="shared" si="2"/>
        <v>58100</v>
      </c>
      <c r="H11" s="34">
        <v>80000</v>
      </c>
      <c r="I11" s="35">
        <f t="shared" si="3"/>
        <v>21900</v>
      </c>
      <c r="J11" s="45">
        <f>+Tabla6[[#This Row],[Ganancia]]/Tabla6[[#This Row],[Precio de venta]]*100</f>
        <v>27.375</v>
      </c>
      <c r="K11" s="38"/>
    </row>
    <row r="12" spans="1:14" ht="24.75" customHeight="1">
      <c r="B12" s="40" t="s">
        <v>145</v>
      </c>
      <c r="C12" s="34">
        <v>21000</v>
      </c>
      <c r="D12" s="34">
        <v>38000</v>
      </c>
      <c r="E12" s="34">
        <v>2000</v>
      </c>
      <c r="F12" s="34">
        <v>5500</v>
      </c>
      <c r="G12" s="34">
        <f t="shared" si="2"/>
        <v>66500</v>
      </c>
      <c r="H12" s="34">
        <v>95000</v>
      </c>
      <c r="I12" s="35">
        <f t="shared" si="3"/>
        <v>28500</v>
      </c>
      <c r="J12" s="45">
        <f>+Tabla6[[#This Row],[Ganancia]]/Tabla6[[#This Row],[Precio de venta]]*100</f>
        <v>30</v>
      </c>
      <c r="K12" s="38"/>
    </row>
    <row r="13" spans="1:14" ht="24" customHeight="1">
      <c r="B13" s="33" t="s">
        <v>148</v>
      </c>
      <c r="C13" s="34">
        <v>20000</v>
      </c>
      <c r="D13" s="34">
        <v>18700</v>
      </c>
      <c r="E13" s="34">
        <v>2000</v>
      </c>
      <c r="F13" s="34">
        <v>5200</v>
      </c>
      <c r="G13" s="34">
        <f t="shared" si="2"/>
        <v>45900</v>
      </c>
      <c r="H13" s="34">
        <v>70000</v>
      </c>
      <c r="I13" s="35">
        <f t="shared" si="3"/>
        <v>24100</v>
      </c>
      <c r="J13" s="45">
        <f>+Tabla6[[#This Row],[Ganancia]]/Tabla6[[#This Row],[Precio de venta]]*100</f>
        <v>34.428571428571431</v>
      </c>
      <c r="K13" s="38"/>
    </row>
    <row r="14" spans="1:14" ht="24" customHeight="1">
      <c r="B14" s="33" t="s">
        <v>155</v>
      </c>
      <c r="C14" s="34">
        <v>6200</v>
      </c>
      <c r="D14" s="34">
        <v>55000</v>
      </c>
      <c r="E14" s="34">
        <v>2000</v>
      </c>
      <c r="F14" s="34">
        <v>5200</v>
      </c>
      <c r="G14" s="34">
        <f t="shared" si="2"/>
        <v>68400</v>
      </c>
      <c r="H14" s="34">
        <v>90000</v>
      </c>
      <c r="I14" s="35">
        <f t="shared" si="3"/>
        <v>21600</v>
      </c>
      <c r="J14" s="45">
        <f>+Tabla6[[#This Row],[Ganancia]]/Tabla6[[#This Row],[Precio de venta]]*100</f>
        <v>24</v>
      </c>
      <c r="K14" s="38"/>
    </row>
    <row r="15" spans="1:14" ht="27" customHeight="1">
      <c r="B15" s="40" t="s">
        <v>159</v>
      </c>
      <c r="C15" s="34">
        <v>16200</v>
      </c>
      <c r="D15" s="34">
        <v>22000</v>
      </c>
      <c r="E15" s="34">
        <v>2000</v>
      </c>
      <c r="F15" s="34">
        <v>6700</v>
      </c>
      <c r="G15" s="34">
        <f t="shared" si="2"/>
        <v>46900</v>
      </c>
      <c r="H15" s="34">
        <v>75000</v>
      </c>
      <c r="I15" s="35">
        <f t="shared" si="3"/>
        <v>28100</v>
      </c>
      <c r="J15" s="45">
        <f>+Tabla6[[#This Row],[Ganancia]]/Tabla6[[#This Row],[Precio de venta]]*100</f>
        <v>37.466666666666661</v>
      </c>
      <c r="K15" s="38"/>
    </row>
    <row r="16" spans="1:14" ht="27" customHeight="1">
      <c r="B16" s="46" t="s">
        <v>163</v>
      </c>
      <c r="C16" s="34">
        <f>320*60</f>
        <v>19200</v>
      </c>
      <c r="D16" s="34">
        <v>28000</v>
      </c>
      <c r="E16" s="34">
        <v>2000</v>
      </c>
      <c r="F16" s="34">
        <v>6700</v>
      </c>
      <c r="G16" s="34">
        <f>SUM(C16:F16)</f>
        <v>55900</v>
      </c>
      <c r="H16" s="34">
        <v>75000</v>
      </c>
      <c r="I16" s="35">
        <f>+H16-G16</f>
        <v>19100</v>
      </c>
      <c r="J16" s="45">
        <f>+Tabla6[[#This Row],[Ganancia]]/Tabla6[[#This Row],[Precio de venta]]*100</f>
        <v>25.466666666666665</v>
      </c>
      <c r="K16" s="38"/>
    </row>
    <row r="17" spans="2:11" ht="30" customHeight="1">
      <c r="B17" s="33" t="s">
        <v>169</v>
      </c>
      <c r="C17" s="34">
        <v>15600</v>
      </c>
      <c r="D17" s="34">
        <v>30000</v>
      </c>
      <c r="E17" s="34">
        <v>2000</v>
      </c>
      <c r="F17" s="34">
        <v>6700</v>
      </c>
      <c r="G17" s="34">
        <f>SUM(C17:F17)</f>
        <v>54300</v>
      </c>
      <c r="H17" s="34">
        <v>75000</v>
      </c>
      <c r="I17" s="35">
        <f>+H17-G17</f>
        <v>20700</v>
      </c>
      <c r="J17" s="45">
        <f>+Tabla6[[#This Row],[Ganancia]]/Tabla6[[#This Row],[Precio de venta]]*100</f>
        <v>27.6</v>
      </c>
      <c r="K17" s="38"/>
    </row>
    <row r="18" spans="2:11" ht="33.75" customHeight="1">
      <c r="B18" s="33" t="s">
        <v>172</v>
      </c>
      <c r="C18" s="34">
        <v>15000</v>
      </c>
      <c r="D18" s="34">
        <v>24000</v>
      </c>
      <c r="E18" s="34">
        <v>2000</v>
      </c>
      <c r="F18" s="34">
        <v>5000</v>
      </c>
      <c r="G18" s="34">
        <f t="shared" ref="G18:G20" si="4">SUM(C18:F18)</f>
        <v>46000</v>
      </c>
      <c r="H18" s="34">
        <v>80000</v>
      </c>
      <c r="I18" s="35">
        <f t="shared" ref="I18:I20" si="5">+H18-G18</f>
        <v>34000</v>
      </c>
      <c r="J18" s="45">
        <f>+Tabla6[[#This Row],[Ganancia]]/Tabla6[[#This Row],[Precio de venta]]*100</f>
        <v>42.5</v>
      </c>
      <c r="K18" s="38"/>
    </row>
    <row r="19" spans="2:11" ht="38.25" customHeight="1">
      <c r="B19" s="33" t="s">
        <v>173</v>
      </c>
      <c r="C19" s="34">
        <v>13000</v>
      </c>
      <c r="D19" s="34">
        <v>20000</v>
      </c>
      <c r="E19" s="34">
        <v>2000</v>
      </c>
      <c r="F19" s="34">
        <v>5000</v>
      </c>
      <c r="G19" s="34">
        <f t="shared" si="4"/>
        <v>40000</v>
      </c>
      <c r="H19" s="34">
        <v>75000</v>
      </c>
      <c r="I19" s="35">
        <f t="shared" si="5"/>
        <v>35000</v>
      </c>
      <c r="J19" s="45">
        <f>+Tabla6[[#This Row],[Ganancia]]/Tabla6[[#This Row],[Precio de venta]]*100</f>
        <v>46.666666666666664</v>
      </c>
      <c r="K19" s="38"/>
    </row>
    <row r="20" spans="2:11" ht="29.25" customHeight="1">
      <c r="B20" s="33" t="s">
        <v>174</v>
      </c>
      <c r="C20" s="34">
        <v>17400</v>
      </c>
      <c r="D20" s="34">
        <v>24000</v>
      </c>
      <c r="E20" s="34">
        <v>2000</v>
      </c>
      <c r="F20" s="34">
        <v>5000</v>
      </c>
      <c r="G20" s="34">
        <f t="shared" si="4"/>
        <v>48400</v>
      </c>
      <c r="H20" s="34">
        <v>70000</v>
      </c>
      <c r="I20" s="35">
        <f t="shared" si="5"/>
        <v>21600</v>
      </c>
      <c r="J20" s="45">
        <f>+Tabla6[[#This Row],[Ganancia]]/Tabla6[[#This Row],[Precio de venta]]*100</f>
        <v>30.857142857142854</v>
      </c>
      <c r="K20" s="38"/>
    </row>
    <row r="21" spans="2:11" ht="36" customHeight="1">
      <c r="B21" s="33" t="s">
        <v>182</v>
      </c>
      <c r="C21" s="34">
        <v>23400</v>
      </c>
      <c r="D21" s="34">
        <v>42000</v>
      </c>
      <c r="E21" s="34">
        <v>2000</v>
      </c>
      <c r="F21" s="34">
        <v>5000</v>
      </c>
      <c r="G21" s="34">
        <f>SUM(C21:F21)</f>
        <v>72400</v>
      </c>
      <c r="H21" s="34">
        <v>95000</v>
      </c>
      <c r="I21" s="35">
        <f>+H21-G21</f>
        <v>22600</v>
      </c>
      <c r="J21" s="45">
        <f>+Tabla6[[#This Row],[Ganancia]]/Tabla6[[#This Row],[Precio de venta]]*100</f>
        <v>23.789473684210527</v>
      </c>
      <c r="K21" s="38"/>
    </row>
  </sheetData>
  <mergeCells count="1">
    <mergeCell ref="B1:J1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3CF30-45CB-4FD3-9AB3-954131EC9896}">
  <dimension ref="A2:K31"/>
  <sheetViews>
    <sheetView topLeftCell="A13" workbookViewId="0">
      <selection activeCell="H21" sqref="H21"/>
    </sheetView>
  </sheetViews>
  <sheetFormatPr baseColWidth="10" defaultRowHeight="15"/>
  <cols>
    <col min="1" max="1" width="18" bestFit="1" customWidth="1"/>
    <col min="2" max="2" width="29.42578125" bestFit="1" customWidth="1"/>
    <col min="4" max="5" width="6.28515625" customWidth="1"/>
    <col min="6" max="6" width="13.28515625" bestFit="1" customWidth="1"/>
    <col min="8" max="8" width="35.140625" customWidth="1"/>
    <col min="9" max="9" width="15.28515625" bestFit="1" customWidth="1"/>
    <col min="10" max="10" width="15.7109375" bestFit="1" customWidth="1"/>
    <col min="12" max="12" width="13.28515625" bestFit="1" customWidth="1"/>
  </cols>
  <sheetData>
    <row r="2" spans="1:10" s="9" customFormat="1" ht="31.9" customHeight="1">
      <c r="A2" s="50" t="s">
        <v>24</v>
      </c>
      <c r="B2" s="50"/>
      <c r="C2" s="50"/>
      <c r="D2" s="50"/>
      <c r="E2" s="50"/>
      <c r="F2" s="50"/>
    </row>
    <row r="3" spans="1:10" ht="6.6" customHeight="1"/>
    <row r="4" spans="1:10">
      <c r="B4" s="1" t="s">
        <v>27</v>
      </c>
      <c r="C4" s="1" t="s">
        <v>25</v>
      </c>
      <c r="D4" s="1" t="s">
        <v>1</v>
      </c>
      <c r="E4" s="1" t="s">
        <v>49</v>
      </c>
      <c r="F4" s="1" t="s">
        <v>28</v>
      </c>
      <c r="H4" s="19" t="s">
        <v>65</v>
      </c>
      <c r="I4" s="19" t="s">
        <v>1</v>
      </c>
    </row>
    <row r="5" spans="1:10">
      <c r="F5" s="2">
        <f t="shared" ref="F5:F8" si="0">+D5*100</f>
        <v>0</v>
      </c>
      <c r="H5" s="22" t="s">
        <v>89</v>
      </c>
      <c r="I5" s="21"/>
    </row>
    <row r="6" spans="1:10">
      <c r="B6" t="s">
        <v>63</v>
      </c>
      <c r="C6" t="s">
        <v>26</v>
      </c>
      <c r="F6" s="2">
        <f t="shared" si="0"/>
        <v>0</v>
      </c>
      <c r="H6" s="22" t="s">
        <v>91</v>
      </c>
      <c r="I6" s="21"/>
    </row>
    <row r="7" spans="1:10">
      <c r="B7" t="s">
        <v>100</v>
      </c>
      <c r="C7" t="s">
        <v>26</v>
      </c>
      <c r="F7" s="2">
        <f t="shared" si="0"/>
        <v>0</v>
      </c>
      <c r="H7" s="22" t="s">
        <v>92</v>
      </c>
      <c r="I7" s="23">
        <v>2000</v>
      </c>
    </row>
    <row r="8" spans="1:10">
      <c r="B8" t="s">
        <v>64</v>
      </c>
      <c r="C8" t="s">
        <v>26</v>
      </c>
      <c r="F8" s="2">
        <f t="shared" si="0"/>
        <v>0</v>
      </c>
      <c r="H8" s="20" t="s">
        <v>66</v>
      </c>
      <c r="I8" s="21">
        <v>10000</v>
      </c>
    </row>
    <row r="9" spans="1:10">
      <c r="B9" t="s">
        <v>73</v>
      </c>
      <c r="C9" t="s">
        <v>61</v>
      </c>
      <c r="F9" s="2">
        <f>+D9*100</f>
        <v>0</v>
      </c>
      <c r="H9" s="20"/>
      <c r="I9" s="21"/>
    </row>
    <row r="10" spans="1:10">
      <c r="A10" s="8"/>
      <c r="B10" s="25" t="s">
        <v>71</v>
      </c>
      <c r="C10" t="s">
        <v>26</v>
      </c>
      <c r="F10" s="2">
        <f t="shared" ref="F10:F29" si="1">+D10*100</f>
        <v>0</v>
      </c>
      <c r="H10" s="20"/>
      <c r="I10" s="21"/>
    </row>
    <row r="11" spans="1:10">
      <c r="A11" s="8"/>
      <c r="B11" t="s">
        <v>72</v>
      </c>
      <c r="C11" t="s">
        <v>61</v>
      </c>
      <c r="F11" s="2">
        <f t="shared" si="1"/>
        <v>0</v>
      </c>
      <c r="H11" s="20"/>
      <c r="I11" s="21"/>
    </row>
    <row r="12" spans="1:10">
      <c r="B12" s="25" t="s">
        <v>146</v>
      </c>
      <c r="C12" t="s">
        <v>61</v>
      </c>
      <c r="F12" s="2">
        <f t="shared" si="1"/>
        <v>0</v>
      </c>
      <c r="H12" s="22"/>
      <c r="I12" s="21"/>
    </row>
    <row r="13" spans="1:10">
      <c r="B13" t="s">
        <v>106</v>
      </c>
      <c r="C13" t="s">
        <v>61</v>
      </c>
      <c r="F13" s="2">
        <f t="shared" si="1"/>
        <v>0</v>
      </c>
      <c r="H13" s="22"/>
      <c r="I13" s="23">
        <f>SUM(I5:I12)</f>
        <v>12000</v>
      </c>
    </row>
    <row r="14" spans="1:10">
      <c r="B14" s="25" t="s">
        <v>74</v>
      </c>
      <c r="C14" t="s">
        <v>26</v>
      </c>
      <c r="F14" s="2">
        <f t="shared" si="1"/>
        <v>0</v>
      </c>
    </row>
    <row r="15" spans="1:10">
      <c r="B15" t="s">
        <v>93</v>
      </c>
      <c r="C15" t="s">
        <v>94</v>
      </c>
      <c r="F15" s="2">
        <f t="shared" si="1"/>
        <v>0</v>
      </c>
    </row>
    <row r="16" spans="1:10">
      <c r="B16" s="25" t="s">
        <v>150</v>
      </c>
      <c r="F16" s="2">
        <f t="shared" si="1"/>
        <v>0</v>
      </c>
      <c r="H16" s="37" t="s">
        <v>101</v>
      </c>
      <c r="I16" s="36" t="s">
        <v>1</v>
      </c>
      <c r="J16" s="22" t="s">
        <v>135</v>
      </c>
    </row>
    <row r="17" spans="2:11">
      <c r="B17" t="s">
        <v>103</v>
      </c>
      <c r="F17" s="2">
        <f t="shared" si="1"/>
        <v>0</v>
      </c>
      <c r="H17" s="22" t="s">
        <v>170</v>
      </c>
      <c r="I17" s="28"/>
      <c r="J17" s="22" t="s">
        <v>136</v>
      </c>
    </row>
    <row r="18" spans="2:11">
      <c r="B18" t="s">
        <v>102</v>
      </c>
      <c r="F18" s="2">
        <f t="shared" si="1"/>
        <v>0</v>
      </c>
      <c r="H18" s="22" t="s">
        <v>179</v>
      </c>
      <c r="I18" s="28"/>
      <c r="J18" s="22" t="s">
        <v>136</v>
      </c>
    </row>
    <row r="19" spans="2:11">
      <c r="B19" t="s">
        <v>151</v>
      </c>
      <c r="F19" s="2"/>
      <c r="H19" s="22" t="s">
        <v>187</v>
      </c>
      <c r="I19" s="28"/>
      <c r="J19" s="22" t="s">
        <v>136</v>
      </c>
    </row>
    <row r="20" spans="2:11" ht="20.25">
      <c r="B20" s="41"/>
      <c r="F20" s="2"/>
      <c r="H20" s="22" t="s">
        <v>188</v>
      </c>
      <c r="I20" s="27"/>
      <c r="J20" s="22" t="s">
        <v>136</v>
      </c>
    </row>
    <row r="21" spans="2:11" ht="39.75" customHeight="1">
      <c r="B21" t="s">
        <v>156</v>
      </c>
      <c r="F21" s="2">
        <f t="shared" si="1"/>
        <v>0</v>
      </c>
      <c r="H21" s="43" t="s">
        <v>185</v>
      </c>
      <c r="I21" s="23"/>
      <c r="J21" s="22"/>
    </row>
    <row r="22" spans="2:11">
      <c r="F22" s="2">
        <f t="shared" si="1"/>
        <v>0</v>
      </c>
      <c r="H22" s="47" t="s">
        <v>186</v>
      </c>
      <c r="I22" s="27"/>
      <c r="J22" s="22"/>
    </row>
    <row r="23" spans="2:11">
      <c r="F23" s="2">
        <f t="shared" si="1"/>
        <v>0</v>
      </c>
      <c r="I23" s="3">
        <f>SUM(I17:I22)</f>
        <v>0</v>
      </c>
    </row>
    <row r="24" spans="2:11">
      <c r="F24" s="2">
        <f t="shared" si="1"/>
        <v>0</v>
      </c>
      <c r="H24" t="s">
        <v>181</v>
      </c>
    </row>
    <row r="25" spans="2:11">
      <c r="F25" s="2">
        <f t="shared" si="1"/>
        <v>0</v>
      </c>
      <c r="H25" s="29" t="s">
        <v>180</v>
      </c>
      <c r="I25" s="27"/>
      <c r="J25" s="22"/>
      <c r="K25" t="s">
        <v>157</v>
      </c>
    </row>
    <row r="26" spans="2:11">
      <c r="F26" s="2">
        <f t="shared" si="1"/>
        <v>0</v>
      </c>
      <c r="H26" s="22"/>
      <c r="I26" s="27"/>
      <c r="J26" s="22"/>
      <c r="K26" t="s">
        <v>158</v>
      </c>
    </row>
    <row r="27" spans="2:11">
      <c r="F27" s="2">
        <f t="shared" si="1"/>
        <v>0</v>
      </c>
      <c r="H27" s="22" t="s">
        <v>161</v>
      </c>
      <c r="I27" s="27"/>
      <c r="J27" s="22"/>
    </row>
    <row r="28" spans="2:11">
      <c r="F28" s="2">
        <f t="shared" si="1"/>
        <v>0</v>
      </c>
      <c r="H28" s="22" t="s">
        <v>162</v>
      </c>
      <c r="I28" s="27"/>
      <c r="J28" s="22"/>
    </row>
    <row r="29" spans="2:11">
      <c r="F29" s="2">
        <f t="shared" si="1"/>
        <v>0</v>
      </c>
      <c r="H29" s="22"/>
      <c r="I29" s="22"/>
      <c r="J29" s="22"/>
    </row>
    <row r="30" spans="2:11">
      <c r="H30" s="22"/>
      <c r="I30" s="27"/>
      <c r="J30" s="22"/>
    </row>
    <row r="31" spans="2:11">
      <c r="I31" s="3">
        <f>SUM(I25:I30)</f>
        <v>0</v>
      </c>
    </row>
  </sheetData>
  <mergeCells count="1"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INVENTARIO FEMENINO</vt:lpstr>
      <vt:lpstr>VENTAS ABRIL-MAYO-JUNIO</vt:lpstr>
      <vt:lpstr>INVENTARIO MASCULINO</vt:lpstr>
      <vt:lpstr>1.1</vt:lpstr>
      <vt:lpstr>BAJO PEDIDO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Espinosa</dc:creator>
  <cp:lastModifiedBy>Alvaro Espinosa</cp:lastModifiedBy>
  <dcterms:created xsi:type="dcterms:W3CDTF">2025-02-15T15:25:55Z</dcterms:created>
  <dcterms:modified xsi:type="dcterms:W3CDTF">2026-05-02T14:35:15Z</dcterms:modified>
</cp:coreProperties>
</file>